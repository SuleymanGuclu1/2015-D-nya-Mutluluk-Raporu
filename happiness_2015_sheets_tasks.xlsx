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" sheetId="1" state="visible" r:id="rId3"/>
    <sheet name="Sıralı Ülkeler" sheetId="2" state="visible" r:id="rId4"/>
    <sheet name="Bölge Ortalaması" sheetId="3" state="visible" r:id="rId5"/>
    <sheet name="Normaliz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<sst xmlns="http://schemas.openxmlformats.org/spreadsheetml/2006/main" count="671" uniqueCount="195">
  <si>
    <t xml:space="preserve">Country</t>
  </si>
  <si>
    <t xml:space="preserve">Region</t>
  </si>
  <si>
    <t xml:space="preserve">Happiness Rank</t>
  </si>
  <si>
    <t xml:space="preserve">Happiness Score</t>
  </si>
  <si>
    <t xml:space="preserve">Standard Error</t>
  </si>
  <si>
    <t xml:space="preserve">Economy (GDP per Capita)</t>
  </si>
  <si>
    <t xml:space="preserve">Family</t>
  </si>
  <si>
    <t xml:space="preserve">Health (Life Expectancy)</t>
  </si>
  <si>
    <t xml:space="preserve">Freedom</t>
  </si>
  <si>
    <t xml:space="preserve">Trust (Government Corruption)</t>
  </si>
  <si>
    <t xml:space="preserve">Generosity</t>
  </si>
  <si>
    <t xml:space="preserve">Dystopia Residual</t>
  </si>
  <si>
    <t xml:space="preserve">Switzerland</t>
  </si>
  <si>
    <t xml:space="preserve">Western Europe</t>
  </si>
  <si>
    <t xml:space="preserve">Iceland</t>
  </si>
  <si>
    <t xml:space="preserve">Denmark</t>
  </si>
  <si>
    <t xml:space="preserve">Norway</t>
  </si>
  <si>
    <t xml:space="preserve">Canada</t>
  </si>
  <si>
    <t xml:space="preserve">North America</t>
  </si>
  <si>
    <t xml:space="preserve">Finland</t>
  </si>
  <si>
    <t xml:space="preserve">Netherlands</t>
  </si>
  <si>
    <t xml:space="preserve">Sweden</t>
  </si>
  <si>
    <t xml:space="preserve">New Zealand</t>
  </si>
  <si>
    <t xml:space="preserve">Australia and New Zealand</t>
  </si>
  <si>
    <t xml:space="preserve">Australia</t>
  </si>
  <si>
    <t xml:space="preserve">Israel</t>
  </si>
  <si>
    <t xml:space="preserve">Middle East and Northern Africa</t>
  </si>
  <si>
    <t xml:space="preserve">Costa Rica</t>
  </si>
  <si>
    <t xml:space="preserve">Latin America and Caribbean</t>
  </si>
  <si>
    <t xml:space="preserve">Austria</t>
  </si>
  <si>
    <t xml:space="preserve">Mexico</t>
  </si>
  <si>
    <t xml:space="preserve">United States</t>
  </si>
  <si>
    <t xml:space="preserve">Brazil</t>
  </si>
  <si>
    <t xml:space="preserve">Luxembourg</t>
  </si>
  <si>
    <t xml:space="preserve">Ireland</t>
  </si>
  <si>
    <t xml:space="preserve">Belgium</t>
  </si>
  <si>
    <t xml:space="preserve">United Arab Emirates</t>
  </si>
  <si>
    <t xml:space="preserve">United Kingdom</t>
  </si>
  <si>
    <t xml:space="preserve">Oman</t>
  </si>
  <si>
    <t xml:space="preserve">Venezuela</t>
  </si>
  <si>
    <t xml:space="preserve">Singapore</t>
  </si>
  <si>
    <t xml:space="preserve">Southeastern Asia</t>
  </si>
  <si>
    <t xml:space="preserve">Panama</t>
  </si>
  <si>
    <t xml:space="preserve">Germany</t>
  </si>
  <si>
    <t xml:space="preserve">Chile</t>
  </si>
  <si>
    <t xml:space="preserve">Qatar</t>
  </si>
  <si>
    <t xml:space="preserve">France</t>
  </si>
  <si>
    <t xml:space="preserve">Argentina</t>
  </si>
  <si>
    <t xml:space="preserve">Czech Republic</t>
  </si>
  <si>
    <t xml:space="preserve">Central and Eastern Europe</t>
  </si>
  <si>
    <t xml:space="preserve">Uruguay</t>
  </si>
  <si>
    <t xml:space="preserve">Colombia</t>
  </si>
  <si>
    <t xml:space="preserve">Thailand</t>
  </si>
  <si>
    <t xml:space="preserve">Saudi Arabia</t>
  </si>
  <si>
    <t xml:space="preserve">Spain</t>
  </si>
  <si>
    <t xml:space="preserve">Malta</t>
  </si>
  <si>
    <t xml:space="preserve">Taiwan</t>
  </si>
  <si>
    <t xml:space="preserve">Eastern Asia</t>
  </si>
  <si>
    <t xml:space="preserve">Kuwait</t>
  </si>
  <si>
    <t xml:space="preserve">Suriname</t>
  </si>
  <si>
    <t xml:space="preserve">Trinidad and Tobago</t>
  </si>
  <si>
    <t xml:space="preserve">El Salvador</t>
  </si>
  <si>
    <t xml:space="preserve">Guatemala</t>
  </si>
  <si>
    <t xml:space="preserve">Uzbekistan</t>
  </si>
  <si>
    <t xml:space="preserve">Slovakia</t>
  </si>
  <si>
    <t xml:space="preserve">Japan</t>
  </si>
  <si>
    <t xml:space="preserve">South Korea</t>
  </si>
  <si>
    <t xml:space="preserve">Ecuador</t>
  </si>
  <si>
    <t xml:space="preserve">Bahrain</t>
  </si>
  <si>
    <t xml:space="preserve">Italy</t>
  </si>
  <si>
    <t xml:space="preserve">Bolivia</t>
  </si>
  <si>
    <t xml:space="preserve">Moldova</t>
  </si>
  <si>
    <t xml:space="preserve">Paraguay</t>
  </si>
  <si>
    <t xml:space="preserve">Kazakhstan</t>
  </si>
  <si>
    <t xml:space="preserve">Slovenia</t>
  </si>
  <si>
    <t xml:space="preserve">Lithuania</t>
  </si>
  <si>
    <t xml:space="preserve">Nicaragua</t>
  </si>
  <si>
    <t xml:space="preserve">Peru</t>
  </si>
  <si>
    <t xml:space="preserve">Belarus</t>
  </si>
  <si>
    <t xml:space="preserve">Poland</t>
  </si>
  <si>
    <t xml:space="preserve">Malaysia</t>
  </si>
  <si>
    <t xml:space="preserve">Croatia</t>
  </si>
  <si>
    <t xml:space="preserve">Libya</t>
  </si>
  <si>
    <t xml:space="preserve">Russia</t>
  </si>
  <si>
    <t xml:space="preserve">Jamaica</t>
  </si>
  <si>
    <t xml:space="preserve">North Cyprus</t>
  </si>
  <si>
    <t xml:space="preserve">Cyprus</t>
  </si>
  <si>
    <t xml:space="preserve">Algeria</t>
  </si>
  <si>
    <t xml:space="preserve">Kosovo</t>
  </si>
  <si>
    <t xml:space="preserve">Turkmenistan</t>
  </si>
  <si>
    <t xml:space="preserve">Mauritius</t>
  </si>
  <si>
    <t xml:space="preserve">Sub-Saharan Africa</t>
  </si>
  <si>
    <t xml:space="preserve">Hong Kong</t>
  </si>
  <si>
    <t xml:space="preserve">Estonia</t>
  </si>
  <si>
    <t xml:space="preserve">Indonesia</t>
  </si>
  <si>
    <t xml:space="preserve">Vietnam</t>
  </si>
  <si>
    <t xml:space="preserve">Turkey</t>
  </si>
  <si>
    <t xml:space="preserve">Kyrgyzstan</t>
  </si>
  <si>
    <t xml:space="preserve">Nigeria</t>
  </si>
  <si>
    <t xml:space="preserve">Bhutan</t>
  </si>
  <si>
    <t xml:space="preserve">Southern Asia</t>
  </si>
  <si>
    <t xml:space="preserve">Azerbaijan</t>
  </si>
  <si>
    <t xml:space="preserve">Pakistan</t>
  </si>
  <si>
    <t xml:space="preserve">Jordan</t>
  </si>
  <si>
    <t xml:space="preserve">Montenegro</t>
  </si>
  <si>
    <t xml:space="preserve">China</t>
  </si>
  <si>
    <t xml:space="preserve">Zambia</t>
  </si>
  <si>
    <t xml:space="preserve">Romania</t>
  </si>
  <si>
    <t xml:space="preserve">Serbia</t>
  </si>
  <si>
    <t xml:space="preserve">Portugal</t>
  </si>
  <si>
    <t xml:space="preserve">Latvia</t>
  </si>
  <si>
    <t xml:space="preserve">Philippines</t>
  </si>
  <si>
    <t xml:space="preserve">Somaliland region</t>
  </si>
  <si>
    <t xml:space="preserve">Morocco</t>
  </si>
  <si>
    <t xml:space="preserve">Macedonia</t>
  </si>
  <si>
    <t xml:space="preserve">Mozambique</t>
  </si>
  <si>
    <t xml:space="preserve">Albania</t>
  </si>
  <si>
    <t xml:space="preserve">Bosnia and Herzegovina</t>
  </si>
  <si>
    <t xml:space="preserve">Lesotho</t>
  </si>
  <si>
    <t xml:space="preserve">Dominican Republic</t>
  </si>
  <si>
    <t xml:space="preserve">Laos</t>
  </si>
  <si>
    <t xml:space="preserve">Mongolia</t>
  </si>
  <si>
    <t xml:space="preserve">Swaziland</t>
  </si>
  <si>
    <t xml:space="preserve">Greece</t>
  </si>
  <si>
    <t xml:space="preserve">Lebanon</t>
  </si>
  <si>
    <t xml:space="preserve">Hungary</t>
  </si>
  <si>
    <t xml:space="preserve">Honduras</t>
  </si>
  <si>
    <t xml:space="preserve">Tajikistan</t>
  </si>
  <si>
    <t xml:space="preserve">Tunisia</t>
  </si>
  <si>
    <t xml:space="preserve">Palestinian Territories</t>
  </si>
  <si>
    <t xml:space="preserve">Bangladesh</t>
  </si>
  <si>
    <t xml:space="preserve">Iran</t>
  </si>
  <si>
    <t xml:space="preserve">Ukraine</t>
  </si>
  <si>
    <t xml:space="preserve">Iraq</t>
  </si>
  <si>
    <t xml:space="preserve">South Africa</t>
  </si>
  <si>
    <t xml:space="preserve">Ghana</t>
  </si>
  <si>
    <t xml:space="preserve">Zimbabwe</t>
  </si>
  <si>
    <t xml:space="preserve">Liberia</t>
  </si>
  <si>
    <t xml:space="preserve">India</t>
  </si>
  <si>
    <t xml:space="preserve">Sudan</t>
  </si>
  <si>
    <t xml:space="preserve">Haiti</t>
  </si>
  <si>
    <t xml:space="preserve">Congo (Kinshasa)</t>
  </si>
  <si>
    <t xml:space="preserve">Nepal</t>
  </si>
  <si>
    <t xml:space="preserve">Ethiopia</t>
  </si>
  <si>
    <t xml:space="preserve">Sierra Leone</t>
  </si>
  <si>
    <t xml:space="preserve">Mauritania</t>
  </si>
  <si>
    <t xml:space="preserve">Kenya</t>
  </si>
  <si>
    <t xml:space="preserve">Djibouti</t>
  </si>
  <si>
    <t xml:space="preserve">Armenia</t>
  </si>
  <si>
    <t xml:space="preserve">Botswana</t>
  </si>
  <si>
    <t xml:space="preserve">Myanmar</t>
  </si>
  <si>
    <t xml:space="preserve">Georgia</t>
  </si>
  <si>
    <t xml:space="preserve">Malawi</t>
  </si>
  <si>
    <t xml:space="preserve">Sri Lanka</t>
  </si>
  <si>
    <t xml:space="preserve">Cameroon</t>
  </si>
  <si>
    <t xml:space="preserve">Bulgaria</t>
  </si>
  <si>
    <t xml:space="preserve">Egypt</t>
  </si>
  <si>
    <t xml:space="preserve">Yemen</t>
  </si>
  <si>
    <t xml:space="preserve">Angola</t>
  </si>
  <si>
    <t xml:space="preserve">Mali</t>
  </si>
  <si>
    <t xml:space="preserve">Congo (Brazzaville)</t>
  </si>
  <si>
    <t xml:space="preserve">Comoros</t>
  </si>
  <si>
    <t xml:space="preserve">Uganda</t>
  </si>
  <si>
    <t xml:space="preserve">Senegal</t>
  </si>
  <si>
    <t xml:space="preserve">Gabon</t>
  </si>
  <si>
    <t xml:space="preserve">Niger</t>
  </si>
  <si>
    <t xml:space="preserve">Cambodia</t>
  </si>
  <si>
    <t xml:space="preserve">Tanzania</t>
  </si>
  <si>
    <t xml:space="preserve">Madagascar</t>
  </si>
  <si>
    <t xml:space="preserve">Central African Republic</t>
  </si>
  <si>
    <t xml:space="preserve">Chad</t>
  </si>
  <si>
    <t xml:space="preserve">Guinea</t>
  </si>
  <si>
    <t xml:space="preserve">Ivory Coast</t>
  </si>
  <si>
    <t xml:space="preserve">Burkina Faso</t>
  </si>
  <si>
    <t xml:space="preserve">Afghanistan</t>
  </si>
  <si>
    <t xml:space="preserve">Rwanda</t>
  </si>
  <si>
    <t xml:space="preserve">Benin</t>
  </si>
  <si>
    <t xml:space="preserve">Syria</t>
  </si>
  <si>
    <t xml:space="preserve">Burundi</t>
  </si>
  <si>
    <t xml:space="preserve">Togo</t>
  </si>
  <si>
    <t xml:space="preserve">Sıra</t>
  </si>
  <si>
    <t xml:space="preserve">Ülke</t>
  </si>
  <si>
    <t xml:space="preserve">Bölge</t>
  </si>
  <si>
    <t xml:space="preserve">Mutluluk Puanı</t>
  </si>
  <si>
    <t xml:space="preserve">Ortalama Mutluluk Puanı</t>
  </si>
  <si>
    <t xml:space="preserve">Ülke Sayısı</t>
  </si>
  <si>
    <t xml:space="preserve">GSYİH (Ham)</t>
  </si>
  <si>
    <t xml:space="preserve">GSYİH (Normalize)</t>
  </si>
  <si>
    <t xml:space="preserve">Yaşam Beklentisi (Ham)</t>
  </si>
  <si>
    <t xml:space="preserve">Yaşam Beklentisi (Normalize)</t>
  </si>
  <si>
    <t xml:space="preserve">GSYİH</t>
  </si>
  <si>
    <t xml:space="preserve">Yaşam Bekl.</t>
  </si>
  <si>
    <t xml:space="preserve">Min</t>
  </si>
  <si>
    <t xml:space="preserve">Maks</t>
  </si>
  <si>
    <t xml:space="preserve">Yöntem: Min-Max ölçekleme  →  (x - min) / (maks - min), sonuç 0 ile 1 arasındadır.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</si>
</sst>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Bölgelere Göre Ortalama Mutluluk Puanı (2015)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'Bölge Ortalaması'!B1</c:f>
              <c:strCache>
                <c:ptCount val="1"/>
                <c:pt idx="0">
                  <c:v>Ortalama Mutluluk Puanı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'Bölge Ortalaması'!$A$2:$A$11</c:f>
              <c:strCache>
                <c:ptCount val="10"/>
                <c:pt idx="0">
                  <c:v>Australia and New Zealand</c:v>
                </c:pt>
                <c:pt idx="1">
                  <c:v>North America</c:v>
                </c:pt>
                <c:pt idx="2">
                  <c:v>Western Europe</c:v>
                </c:pt>
                <c:pt idx="3">
                  <c:v>Latin America and Caribbean</c:v>
                </c:pt>
                <c:pt idx="4">
                  <c:v>Eastern Asia</c:v>
                </c:pt>
                <c:pt idx="5">
                  <c:v>Middle East and Northern Africa</c:v>
                </c:pt>
                <c:pt idx="6">
                  <c:v>Central and Eastern Europe</c:v>
                </c:pt>
                <c:pt idx="7">
                  <c:v>Southeastern Asia</c:v>
                </c:pt>
                <c:pt idx="8">
                  <c:v>Southern Asia</c:v>
                </c:pt>
                <c:pt idx="9">
                  <c:v>Sub-Saharan Africa</c:v>
                </c:pt>
              </c:strCache>
            </c:strRef>
          </c:cat>
          <c:val>
            <c:numRef>
              <c:f>'Bölge Ortalaması'!$B$2:$B$11</c:f>
              <c:numCache>
                <c:formatCode>0.000</c:formatCode>
                <c:ptCount val="10"/>
                <c:pt idx="0">
                  <c:v>7.285</c:v>
                </c:pt>
                <c:pt idx="1">
                  <c:v>7.273</c:v>
                </c:pt>
                <c:pt idx="2">
                  <c:v>6.68961904761905</c:v>
                </c:pt>
                <c:pt idx="3">
                  <c:v>6.14468181818182</c:v>
                </c:pt>
                <c:pt idx="4">
                  <c:v>5.62616666666667</c:v>
                </c:pt>
                <c:pt idx="5">
                  <c:v>5.4069</c:v>
                </c:pt>
                <c:pt idx="6">
                  <c:v>5.33293103448276</c:v>
                </c:pt>
                <c:pt idx="7">
                  <c:v>5.31744444444444</c:v>
                </c:pt>
                <c:pt idx="8">
                  <c:v>4.58085714285714</c:v>
                </c:pt>
                <c:pt idx="9">
                  <c:v>4.2028</c:v>
                </c:pt>
              </c:numCache>
            </c:numRef>
          </c:val>
        </c:ser>
        <c:gapWidth val="150"/>
        <c:overlap val="0"/>
        <c:axId val="80609085"/>
        <c:axId val="79807617"/>
      </c:barChart>
      <c:catAx>
        <c:axId val="8060908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7617"/>
        <c:crosses val="autoZero"/>
        <c:auto val="1"/>
        <c:lblAlgn val="ctr"/>
        <c:lblOffset val="100"/>
        <c:noMultiLvlLbl val="0"/>
      </c:catAx>
      <c:valAx>
        <c:axId val="79807617"/>
        <c:scaling>
          <c:orientation val="minMax"/>
          <c:max val="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Ortalama Mutluluk Puanı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9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15</xdr:col>
      <xdr:colOff>473040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5827320" y="399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12" min="3" style="0" width="16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n">
        <v>1</v>
      </c>
      <c r="D2" s="2" t="n">
        <v>7.587</v>
      </c>
      <c r="E2" s="2" t="n">
        <v>0.03411</v>
      </c>
      <c r="F2" s="2" t="n">
        <v>1.39651</v>
      </c>
      <c r="G2" s="2" t="n">
        <v>1.34951</v>
      </c>
      <c r="H2" s="2" t="n">
        <v>0.94143</v>
      </c>
      <c r="I2" s="2" t="n">
        <v>0.66557</v>
      </c>
      <c r="J2" s="2" t="n">
        <v>0.41978</v>
      </c>
      <c r="K2" s="2" t="n">
        <v>0.29678</v>
      </c>
      <c r="L2" s="2" t="n">
        <v>2.51738</v>
      </c>
    </row>
    <row r="3" customFormat="false" ht="15" hidden="false" customHeight="false" outlineLevel="0" collapsed="false">
      <c r="A3" s="2" t="s">
        <v>14</v>
      </c>
      <c r="B3" s="2" t="s">
        <v>13</v>
      </c>
      <c r="C3" s="2" t="n">
        <v>2</v>
      </c>
      <c r="D3" s="2" t="n">
        <v>7.561</v>
      </c>
      <c r="E3" s="2" t="n">
        <v>0.04884</v>
      </c>
      <c r="F3" s="2" t="n">
        <v>1.30232</v>
      </c>
      <c r="G3" s="2" t="n">
        <v>1.40223</v>
      </c>
      <c r="H3" s="2" t="n">
        <v>0.94784</v>
      </c>
      <c r="I3" s="2" t="n">
        <v>0.62877</v>
      </c>
      <c r="J3" s="2" t="n">
        <v>0.14145</v>
      </c>
      <c r="K3" s="2" t="n">
        <v>0.4363</v>
      </c>
      <c r="L3" s="2" t="n">
        <v>2.70201</v>
      </c>
    </row>
    <row r="4" customFormat="false" ht="15" hidden="false" customHeight="false" outlineLevel="0" collapsed="false">
      <c r="A4" s="2" t="s">
        <v>15</v>
      </c>
      <c r="B4" s="2" t="s">
        <v>13</v>
      </c>
      <c r="C4" s="2" t="n">
        <v>3</v>
      </c>
      <c r="D4" s="2" t="n">
        <v>7.527</v>
      </c>
      <c r="E4" s="2" t="n">
        <v>0.03328</v>
      </c>
      <c r="F4" s="2" t="n">
        <v>1.32548</v>
      </c>
      <c r="G4" s="2" t="n">
        <v>1.36058</v>
      </c>
      <c r="H4" s="2" t="n">
        <v>0.87464</v>
      </c>
      <c r="I4" s="2" t="n">
        <v>0.64938</v>
      </c>
      <c r="J4" s="2" t="n">
        <v>0.48357</v>
      </c>
      <c r="K4" s="2" t="n">
        <v>0.34139</v>
      </c>
      <c r="L4" s="2" t="n">
        <v>2.49204</v>
      </c>
    </row>
    <row r="5" customFormat="false" ht="15" hidden="false" customHeight="false" outlineLevel="0" collapsed="false">
      <c r="A5" s="2" t="s">
        <v>16</v>
      </c>
      <c r="B5" s="2" t="s">
        <v>13</v>
      </c>
      <c r="C5" s="2" t="n">
        <v>4</v>
      </c>
      <c r="D5" s="2" t="n">
        <v>7.522</v>
      </c>
      <c r="E5" s="2" t="n">
        <v>0.0388</v>
      </c>
      <c r="F5" s="2" t="n">
        <v>1.459</v>
      </c>
      <c r="G5" s="2" t="n">
        <v>1.33095</v>
      </c>
      <c r="H5" s="2" t="n">
        <v>0.88521</v>
      </c>
      <c r="I5" s="2" t="n">
        <v>0.66973</v>
      </c>
      <c r="J5" s="2" t="n">
        <v>0.36503</v>
      </c>
      <c r="K5" s="2" t="n">
        <v>0.34699</v>
      </c>
      <c r="L5" s="2" t="n">
        <v>2.46531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v>5</v>
      </c>
      <c r="D6" s="2" t="n">
        <v>7.427</v>
      </c>
      <c r="E6" s="2" t="n">
        <v>0.03553</v>
      </c>
      <c r="F6" s="2" t="n">
        <v>1.32629</v>
      </c>
      <c r="G6" s="2" t="n">
        <v>1.32261</v>
      </c>
      <c r="H6" s="2" t="n">
        <v>0.90563</v>
      </c>
      <c r="I6" s="2" t="n">
        <v>0.63297</v>
      </c>
      <c r="J6" s="2" t="n">
        <v>0.32957</v>
      </c>
      <c r="K6" s="2" t="n">
        <v>0.45811</v>
      </c>
      <c r="L6" s="2" t="n">
        <v>2.45176</v>
      </c>
    </row>
    <row r="7" customFormat="false" ht="15" hidden="false" customHeight="false" outlineLevel="0" collapsed="false">
      <c r="A7" s="2" t="s">
        <v>19</v>
      </c>
      <c r="B7" s="2" t="s">
        <v>13</v>
      </c>
      <c r="C7" s="2" t="n">
        <v>6</v>
      </c>
      <c r="D7" s="2" t="n">
        <v>7.406</v>
      </c>
      <c r="E7" s="2" t="n">
        <v>0.0314</v>
      </c>
      <c r="F7" s="2" t="n">
        <v>1.29025</v>
      </c>
      <c r="G7" s="2" t="n">
        <v>1.31826</v>
      </c>
      <c r="H7" s="2" t="n">
        <v>0.88911</v>
      </c>
      <c r="I7" s="2" t="n">
        <v>0.64169</v>
      </c>
      <c r="J7" s="2" t="n">
        <v>0.41372</v>
      </c>
      <c r="K7" s="2" t="n">
        <v>0.23351</v>
      </c>
      <c r="L7" s="2" t="n">
        <v>2.61955</v>
      </c>
    </row>
    <row r="8" customFormat="false" ht="15" hidden="false" customHeight="false" outlineLevel="0" collapsed="false">
      <c r="A8" s="2" t="s">
        <v>20</v>
      </c>
      <c r="B8" s="2" t="s">
        <v>13</v>
      </c>
      <c r="C8" s="2" t="n">
        <v>7</v>
      </c>
      <c r="D8" s="2" t="n">
        <v>7.378</v>
      </c>
      <c r="E8" s="2" t="n">
        <v>0.02799</v>
      </c>
      <c r="F8" s="2" t="n">
        <v>1.32944</v>
      </c>
      <c r="G8" s="2" t="n">
        <v>1.28017</v>
      </c>
      <c r="H8" s="2" t="n">
        <v>0.89284</v>
      </c>
      <c r="I8" s="2" t="n">
        <v>0.61576</v>
      </c>
      <c r="J8" s="2" t="n">
        <v>0.31814</v>
      </c>
      <c r="K8" s="2" t="n">
        <v>0.4761</v>
      </c>
      <c r="L8" s="2" t="n">
        <v>2.4657</v>
      </c>
    </row>
    <row r="9" customFormat="false" ht="15" hidden="false" customHeight="false" outlineLevel="0" collapsed="false">
      <c r="A9" s="2" t="s">
        <v>21</v>
      </c>
      <c r="B9" s="2" t="s">
        <v>13</v>
      </c>
      <c r="C9" s="2" t="n">
        <v>8</v>
      </c>
      <c r="D9" s="2" t="n">
        <v>7.364</v>
      </c>
      <c r="E9" s="2" t="n">
        <v>0.03157</v>
      </c>
      <c r="F9" s="2" t="n">
        <v>1.33171</v>
      </c>
      <c r="G9" s="2" t="n">
        <v>1.28907</v>
      </c>
      <c r="H9" s="2" t="n">
        <v>0.91087</v>
      </c>
      <c r="I9" s="2" t="n">
        <v>0.6598</v>
      </c>
      <c r="J9" s="2" t="n">
        <v>0.43844</v>
      </c>
      <c r="K9" s="2" t="n">
        <v>0.36262</v>
      </c>
      <c r="L9" s="2" t="n">
        <v>2.37119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n">
        <v>9</v>
      </c>
      <c r="D10" s="2" t="n">
        <v>7.286</v>
      </c>
      <c r="E10" s="2" t="n">
        <v>0.03371</v>
      </c>
      <c r="F10" s="2" t="n">
        <v>1.25018</v>
      </c>
      <c r="G10" s="2" t="n">
        <v>1.31967</v>
      </c>
      <c r="H10" s="2" t="n">
        <v>0.90837</v>
      </c>
      <c r="I10" s="2" t="n">
        <v>0.63938</v>
      </c>
      <c r="J10" s="2" t="n">
        <v>0.42922</v>
      </c>
      <c r="K10" s="2" t="n">
        <v>0.47501</v>
      </c>
      <c r="L10" s="2" t="n">
        <v>2.26425</v>
      </c>
    </row>
    <row r="11" customFormat="false" ht="15" hidden="false" customHeight="false" outlineLevel="0" collapsed="false">
      <c r="A11" s="2" t="s">
        <v>24</v>
      </c>
      <c r="B11" s="2" t="s">
        <v>23</v>
      </c>
      <c r="C11" s="2" t="n">
        <v>10</v>
      </c>
      <c r="D11" s="2" t="n">
        <v>7.284</v>
      </c>
      <c r="E11" s="2" t="n">
        <v>0.04083</v>
      </c>
      <c r="F11" s="2" t="n">
        <v>1.33358</v>
      </c>
      <c r="G11" s="2" t="n">
        <v>1.30923</v>
      </c>
      <c r="H11" s="2" t="n">
        <v>0.93156</v>
      </c>
      <c r="I11" s="2" t="n">
        <v>0.65124</v>
      </c>
      <c r="J11" s="2" t="n">
        <v>0.35637</v>
      </c>
      <c r="K11" s="2" t="n">
        <v>0.43562</v>
      </c>
      <c r="L11" s="2" t="n">
        <v>2.26646</v>
      </c>
    </row>
    <row r="12" customFormat="false" ht="15" hidden="false" customHeight="false" outlineLevel="0" collapsed="false">
      <c r="A12" s="2" t="s">
        <v>25</v>
      </c>
      <c r="B12" s="2" t="s">
        <v>26</v>
      </c>
      <c r="C12" s="2" t="n">
        <v>11</v>
      </c>
      <c r="D12" s="2" t="n">
        <v>7.278</v>
      </c>
      <c r="E12" s="2" t="n">
        <v>0.0347</v>
      </c>
      <c r="F12" s="2" t="n">
        <v>1.22857</v>
      </c>
      <c r="G12" s="2" t="n">
        <v>1.22393</v>
      </c>
      <c r="H12" s="2" t="n">
        <v>0.91387</v>
      </c>
      <c r="I12" s="2" t="n">
        <v>0.41319</v>
      </c>
      <c r="J12" s="2" t="n">
        <v>0.07785</v>
      </c>
      <c r="K12" s="2" t="n">
        <v>0.33172</v>
      </c>
      <c r="L12" s="2" t="n">
        <v>3.08854</v>
      </c>
    </row>
    <row r="13" customFormat="false" ht="15" hidden="false" customHeight="false" outlineLevel="0" collapsed="false">
      <c r="A13" s="2" t="s">
        <v>27</v>
      </c>
      <c r="B13" s="2" t="s">
        <v>28</v>
      </c>
      <c r="C13" s="2" t="n">
        <v>12</v>
      </c>
      <c r="D13" s="2" t="n">
        <v>7.226</v>
      </c>
      <c r="E13" s="2" t="n">
        <v>0.04454</v>
      </c>
      <c r="F13" s="2" t="n">
        <v>0.95578</v>
      </c>
      <c r="G13" s="2" t="n">
        <v>1.23788</v>
      </c>
      <c r="H13" s="2" t="n">
        <v>0.86027</v>
      </c>
      <c r="I13" s="2" t="n">
        <v>0.63376</v>
      </c>
      <c r="J13" s="2" t="n">
        <v>0.10583</v>
      </c>
      <c r="K13" s="2" t="n">
        <v>0.25497</v>
      </c>
      <c r="L13" s="2" t="n">
        <v>3.17728</v>
      </c>
    </row>
    <row r="14" customFormat="false" ht="15" hidden="false" customHeight="false" outlineLevel="0" collapsed="false">
      <c r="A14" s="2" t="s">
        <v>29</v>
      </c>
      <c r="B14" s="2" t="s">
        <v>13</v>
      </c>
      <c r="C14" s="2" t="n">
        <v>13</v>
      </c>
      <c r="D14" s="2" t="n">
        <v>7.2</v>
      </c>
      <c r="E14" s="2" t="n">
        <v>0.03751</v>
      </c>
      <c r="F14" s="2" t="n">
        <v>1.33723</v>
      </c>
      <c r="G14" s="2" t="n">
        <v>1.29704</v>
      </c>
      <c r="H14" s="2" t="n">
        <v>0.89042</v>
      </c>
      <c r="I14" s="2" t="n">
        <v>0.62433</v>
      </c>
      <c r="J14" s="2" t="n">
        <v>0.18676</v>
      </c>
      <c r="K14" s="2" t="n">
        <v>0.33088</v>
      </c>
      <c r="L14" s="2" t="n">
        <v>2.5332</v>
      </c>
    </row>
    <row r="15" customFormat="false" ht="15" hidden="false" customHeight="false" outlineLevel="0" collapsed="false">
      <c r="A15" s="2" t="s">
        <v>30</v>
      </c>
      <c r="B15" s="2" t="s">
        <v>28</v>
      </c>
      <c r="C15" s="2" t="n">
        <v>14</v>
      </c>
      <c r="D15" s="2" t="n">
        <v>7.187</v>
      </c>
      <c r="E15" s="2" t="n">
        <v>0.04176</v>
      </c>
      <c r="F15" s="2" t="n">
        <v>1.02054</v>
      </c>
      <c r="G15" s="2" t="n">
        <v>0.91451</v>
      </c>
      <c r="H15" s="2" t="n">
        <v>0.81444</v>
      </c>
      <c r="I15" s="2" t="n">
        <v>0.48181</v>
      </c>
      <c r="J15" s="2" t="n">
        <v>0.21312</v>
      </c>
      <c r="K15" s="2" t="n">
        <v>0.14074</v>
      </c>
      <c r="L15" s="2" t="n">
        <v>3.60214</v>
      </c>
    </row>
    <row r="16" customFormat="false" ht="15" hidden="false" customHeight="false" outlineLevel="0" collapsed="false">
      <c r="A16" s="2" t="s">
        <v>31</v>
      </c>
      <c r="B16" s="2" t="s">
        <v>18</v>
      </c>
      <c r="C16" s="2" t="n">
        <v>15</v>
      </c>
      <c r="D16" s="2" t="n">
        <v>7.119</v>
      </c>
      <c r="E16" s="2" t="n">
        <v>0.03839</v>
      </c>
      <c r="F16" s="2" t="n">
        <v>1.39451</v>
      </c>
      <c r="G16" s="2" t="n">
        <v>1.24711</v>
      </c>
      <c r="H16" s="2" t="n">
        <v>0.86179</v>
      </c>
      <c r="I16" s="2" t="n">
        <v>0.54604</v>
      </c>
      <c r="J16" s="2" t="n">
        <v>0.1589</v>
      </c>
      <c r="K16" s="2" t="n">
        <v>0.40105</v>
      </c>
      <c r="L16" s="2" t="n">
        <v>2.51011</v>
      </c>
    </row>
    <row r="17" customFormat="false" ht="15" hidden="false" customHeight="false" outlineLevel="0" collapsed="false">
      <c r="A17" s="2" t="s">
        <v>32</v>
      </c>
      <c r="B17" s="2" t="s">
        <v>28</v>
      </c>
      <c r="C17" s="2" t="n">
        <v>16</v>
      </c>
      <c r="D17" s="2" t="n">
        <v>6.983</v>
      </c>
      <c r="E17" s="2" t="n">
        <v>0.04076</v>
      </c>
      <c r="F17" s="2" t="n">
        <v>0.98124</v>
      </c>
      <c r="G17" s="2" t="n">
        <v>1.23287</v>
      </c>
      <c r="H17" s="2" t="n">
        <v>0.69702</v>
      </c>
      <c r="I17" s="2" t="n">
        <v>0.49049</v>
      </c>
      <c r="J17" s="2" t="n">
        <v>0.17521</v>
      </c>
      <c r="K17" s="2" t="n">
        <v>0.14574</v>
      </c>
      <c r="L17" s="2" t="n">
        <v>3.26001</v>
      </c>
    </row>
    <row r="18" customFormat="false" ht="15" hidden="false" customHeight="false" outlineLevel="0" collapsed="false">
      <c r="A18" s="2" t="s">
        <v>33</v>
      </c>
      <c r="B18" s="2" t="s">
        <v>13</v>
      </c>
      <c r="C18" s="2" t="n">
        <v>17</v>
      </c>
      <c r="D18" s="2" t="n">
        <v>6.946</v>
      </c>
      <c r="E18" s="2" t="n">
        <v>0.03499</v>
      </c>
      <c r="F18" s="2" t="n">
        <v>1.56391</v>
      </c>
      <c r="G18" s="2" t="n">
        <v>1.21963</v>
      </c>
      <c r="H18" s="2" t="n">
        <v>0.91894</v>
      </c>
      <c r="I18" s="2" t="n">
        <v>0.61583</v>
      </c>
      <c r="J18" s="2" t="n">
        <v>0.37798</v>
      </c>
      <c r="K18" s="2" t="n">
        <v>0.28034</v>
      </c>
      <c r="L18" s="2" t="n">
        <v>1.96961</v>
      </c>
    </row>
    <row r="19" customFormat="false" ht="15" hidden="false" customHeight="false" outlineLevel="0" collapsed="false">
      <c r="A19" s="2" t="s">
        <v>34</v>
      </c>
      <c r="B19" s="2" t="s">
        <v>13</v>
      </c>
      <c r="C19" s="2" t="n">
        <v>18</v>
      </c>
      <c r="D19" s="2" t="n">
        <v>6.94</v>
      </c>
      <c r="E19" s="2" t="n">
        <v>0.03676</v>
      </c>
      <c r="F19" s="2" t="n">
        <v>1.33596</v>
      </c>
      <c r="G19" s="2" t="n">
        <v>1.36948</v>
      </c>
      <c r="H19" s="2" t="n">
        <v>0.89533</v>
      </c>
      <c r="I19" s="2" t="n">
        <v>0.61777</v>
      </c>
      <c r="J19" s="2" t="n">
        <v>0.28703</v>
      </c>
      <c r="K19" s="2" t="n">
        <v>0.45901</v>
      </c>
      <c r="L19" s="2" t="n">
        <v>1.9757</v>
      </c>
    </row>
    <row r="20" customFormat="false" ht="15" hidden="false" customHeight="false" outlineLevel="0" collapsed="false">
      <c r="A20" s="2" t="s">
        <v>35</v>
      </c>
      <c r="B20" s="2" t="s">
        <v>13</v>
      </c>
      <c r="C20" s="2" t="n">
        <v>19</v>
      </c>
      <c r="D20" s="2" t="n">
        <v>6.937</v>
      </c>
      <c r="E20" s="2" t="n">
        <v>0.03595</v>
      </c>
      <c r="F20" s="2" t="n">
        <v>1.30782</v>
      </c>
      <c r="G20" s="2" t="n">
        <v>1.28566</v>
      </c>
      <c r="H20" s="2" t="n">
        <v>0.89667</v>
      </c>
      <c r="I20" s="2" t="n">
        <v>0.5845</v>
      </c>
      <c r="J20" s="2" t="n">
        <v>0.2254</v>
      </c>
      <c r="K20" s="2" t="n">
        <v>0.2225</v>
      </c>
      <c r="L20" s="2" t="n">
        <v>2.41484</v>
      </c>
    </row>
    <row r="21" customFormat="false" ht="15" hidden="false" customHeight="false" outlineLevel="0" collapsed="false">
      <c r="A21" s="2" t="s">
        <v>36</v>
      </c>
      <c r="B21" s="2" t="s">
        <v>26</v>
      </c>
      <c r="C21" s="2" t="n">
        <v>20</v>
      </c>
      <c r="D21" s="2" t="n">
        <v>6.901</v>
      </c>
      <c r="E21" s="2" t="n">
        <v>0.03729</v>
      </c>
      <c r="F21" s="2" t="n">
        <v>1.42727</v>
      </c>
      <c r="G21" s="2" t="n">
        <v>1.12575</v>
      </c>
      <c r="H21" s="2" t="n">
        <v>0.80925</v>
      </c>
      <c r="I21" s="2" t="n">
        <v>0.64157</v>
      </c>
      <c r="J21" s="2" t="n">
        <v>0.38583</v>
      </c>
      <c r="K21" s="2" t="n">
        <v>0.26428</v>
      </c>
      <c r="L21" s="2" t="n">
        <v>2.24743</v>
      </c>
    </row>
    <row r="22" customFormat="false" ht="15" hidden="false" customHeight="false" outlineLevel="0" collapsed="false">
      <c r="A22" s="2" t="s">
        <v>37</v>
      </c>
      <c r="B22" s="2" t="s">
        <v>13</v>
      </c>
      <c r="C22" s="2" t="n">
        <v>21</v>
      </c>
      <c r="D22" s="2" t="n">
        <v>6.867</v>
      </c>
      <c r="E22" s="2" t="n">
        <v>0.01866</v>
      </c>
      <c r="F22" s="2" t="n">
        <v>1.26637</v>
      </c>
      <c r="G22" s="2" t="n">
        <v>1.28548</v>
      </c>
      <c r="H22" s="2" t="n">
        <v>0.90943</v>
      </c>
      <c r="I22" s="2" t="n">
        <v>0.59625</v>
      </c>
      <c r="J22" s="2" t="n">
        <v>0.32067</v>
      </c>
      <c r="K22" s="2" t="n">
        <v>0.51912</v>
      </c>
      <c r="L22" s="2" t="n">
        <v>1.96994</v>
      </c>
    </row>
    <row r="23" customFormat="false" ht="15" hidden="false" customHeight="false" outlineLevel="0" collapsed="false">
      <c r="A23" s="2" t="s">
        <v>38</v>
      </c>
      <c r="B23" s="2" t="s">
        <v>26</v>
      </c>
      <c r="C23" s="2" t="n">
        <v>22</v>
      </c>
      <c r="D23" s="2" t="n">
        <v>6.853</v>
      </c>
      <c r="E23" s="2" t="n">
        <v>0.05335</v>
      </c>
      <c r="F23" s="2" t="n">
        <v>1.36011</v>
      </c>
      <c r="G23" s="2" t="n">
        <v>1.08182</v>
      </c>
      <c r="H23" s="2" t="n">
        <v>0.76276</v>
      </c>
      <c r="I23" s="2" t="n">
        <v>0.63274</v>
      </c>
      <c r="J23" s="2" t="n">
        <v>0.32524</v>
      </c>
      <c r="K23" s="2" t="n">
        <v>0.21542</v>
      </c>
      <c r="L23" s="2" t="n">
        <v>2.47489</v>
      </c>
    </row>
    <row r="24" customFormat="false" ht="15" hidden="false" customHeight="false" outlineLevel="0" collapsed="false">
      <c r="A24" s="2" t="s">
        <v>39</v>
      </c>
      <c r="B24" s="2" t="s">
        <v>28</v>
      </c>
      <c r="C24" s="2" t="n">
        <v>23</v>
      </c>
      <c r="D24" s="2" t="n">
        <v>6.81</v>
      </c>
      <c r="E24" s="2" t="n">
        <v>0.06476</v>
      </c>
      <c r="F24" s="2" t="n">
        <v>1.04424</v>
      </c>
      <c r="G24" s="2" t="n">
        <v>1.25596</v>
      </c>
      <c r="H24" s="2" t="n">
        <v>0.72052</v>
      </c>
      <c r="I24" s="2" t="n">
        <v>0.42908</v>
      </c>
      <c r="J24" s="2" t="n">
        <v>0.11069</v>
      </c>
      <c r="K24" s="2" t="n">
        <v>0.05841</v>
      </c>
      <c r="L24" s="2" t="n">
        <v>3.19131</v>
      </c>
    </row>
    <row r="25" customFormat="false" ht="15" hidden="false" customHeight="false" outlineLevel="0" collapsed="false">
      <c r="A25" s="2" t="s">
        <v>40</v>
      </c>
      <c r="B25" s="2" t="s">
        <v>41</v>
      </c>
      <c r="C25" s="2" t="n">
        <v>24</v>
      </c>
      <c r="D25" s="2" t="n">
        <v>6.798</v>
      </c>
      <c r="E25" s="2" t="n">
        <v>0.0378</v>
      </c>
      <c r="F25" s="2" t="n">
        <v>1.52186</v>
      </c>
      <c r="G25" s="2" t="n">
        <v>1.02</v>
      </c>
      <c r="H25" s="2" t="n">
        <v>1.02525</v>
      </c>
      <c r="I25" s="2" t="n">
        <v>0.54252</v>
      </c>
      <c r="J25" s="2" t="n">
        <v>0.4921</v>
      </c>
      <c r="K25" s="2" t="n">
        <v>0.31105</v>
      </c>
      <c r="L25" s="2" t="n">
        <v>1.88501</v>
      </c>
    </row>
    <row r="26" customFormat="false" ht="15" hidden="false" customHeight="false" outlineLevel="0" collapsed="false">
      <c r="A26" s="2" t="s">
        <v>42</v>
      </c>
      <c r="B26" s="2" t="s">
        <v>28</v>
      </c>
      <c r="C26" s="2" t="n">
        <v>25</v>
      </c>
      <c r="D26" s="2" t="n">
        <v>6.786</v>
      </c>
      <c r="E26" s="2" t="n">
        <v>0.0491</v>
      </c>
      <c r="F26" s="2" t="n">
        <v>1.06353</v>
      </c>
      <c r="G26" s="2" t="n">
        <v>1.1985</v>
      </c>
      <c r="H26" s="2" t="n">
        <v>0.79661</v>
      </c>
      <c r="I26" s="2" t="n">
        <v>0.5421</v>
      </c>
      <c r="J26" s="2" t="n">
        <v>0.0927</v>
      </c>
      <c r="K26" s="2" t="n">
        <v>0.24434</v>
      </c>
      <c r="L26" s="2" t="n">
        <v>2.84848</v>
      </c>
    </row>
    <row r="27" customFormat="false" ht="15" hidden="false" customHeight="false" outlineLevel="0" collapsed="false">
      <c r="A27" s="2" t="s">
        <v>43</v>
      </c>
      <c r="B27" s="2" t="s">
        <v>13</v>
      </c>
      <c r="C27" s="2" t="n">
        <v>26</v>
      </c>
      <c r="D27" s="2" t="n">
        <v>6.75</v>
      </c>
      <c r="E27" s="2" t="n">
        <v>0.01848</v>
      </c>
      <c r="F27" s="2" t="n">
        <v>1.32792</v>
      </c>
      <c r="G27" s="2" t="n">
        <v>1.29937</v>
      </c>
      <c r="H27" s="2" t="n">
        <v>0.89186</v>
      </c>
      <c r="I27" s="2" t="n">
        <v>0.61477</v>
      </c>
      <c r="J27" s="2" t="n">
        <v>0.21843</v>
      </c>
      <c r="K27" s="2" t="n">
        <v>0.28214</v>
      </c>
      <c r="L27" s="2" t="n">
        <v>2.11569</v>
      </c>
    </row>
    <row r="28" customFormat="false" ht="15" hidden="false" customHeight="false" outlineLevel="0" collapsed="false">
      <c r="A28" s="2" t="s">
        <v>44</v>
      </c>
      <c r="B28" s="2" t="s">
        <v>28</v>
      </c>
      <c r="C28" s="2" t="n">
        <v>27</v>
      </c>
      <c r="D28" s="2" t="n">
        <v>6.67</v>
      </c>
      <c r="E28" s="2" t="n">
        <v>0.058</v>
      </c>
      <c r="F28" s="2" t="n">
        <v>1.10715</v>
      </c>
      <c r="G28" s="2" t="n">
        <v>1.12447</v>
      </c>
      <c r="H28" s="2" t="n">
        <v>0.85857</v>
      </c>
      <c r="I28" s="2" t="n">
        <v>0.44132</v>
      </c>
      <c r="J28" s="2" t="n">
        <v>0.12869</v>
      </c>
      <c r="K28" s="2" t="n">
        <v>0.33363</v>
      </c>
      <c r="L28" s="2" t="n">
        <v>2.67585</v>
      </c>
    </row>
    <row r="29" customFormat="false" ht="15" hidden="false" customHeight="false" outlineLevel="0" collapsed="false">
      <c r="A29" s="2" t="s">
        <v>45</v>
      </c>
      <c r="B29" s="2" t="s">
        <v>26</v>
      </c>
      <c r="C29" s="2" t="n">
        <v>28</v>
      </c>
      <c r="D29" s="2" t="n">
        <v>6.611</v>
      </c>
      <c r="E29" s="2" t="n">
        <v>0.06257</v>
      </c>
      <c r="F29" s="2" t="n">
        <v>1.69042</v>
      </c>
      <c r="G29" s="2" t="n">
        <v>1.0786</v>
      </c>
      <c r="H29" s="2" t="n">
        <v>0.79733</v>
      </c>
      <c r="I29" s="2" t="n">
        <v>0.6404</v>
      </c>
      <c r="J29" s="2" t="n">
        <v>0.52208</v>
      </c>
      <c r="K29" s="2" t="n">
        <v>0.32573</v>
      </c>
      <c r="L29" s="2" t="n">
        <v>1.55674</v>
      </c>
    </row>
    <row r="30" customFormat="false" ht="15" hidden="false" customHeight="false" outlineLevel="0" collapsed="false">
      <c r="A30" s="2" t="s">
        <v>46</v>
      </c>
      <c r="B30" s="2" t="s">
        <v>13</v>
      </c>
      <c r="C30" s="2" t="n">
        <v>29</v>
      </c>
      <c r="D30" s="2" t="n">
        <v>6.575</v>
      </c>
      <c r="E30" s="2" t="n">
        <v>0.03512</v>
      </c>
      <c r="F30" s="2" t="n">
        <v>1.27778</v>
      </c>
      <c r="G30" s="2" t="n">
        <v>1.26038</v>
      </c>
      <c r="H30" s="2" t="n">
        <v>0.94579</v>
      </c>
      <c r="I30" s="2" t="n">
        <v>0.55011</v>
      </c>
      <c r="J30" s="2" t="n">
        <v>0.20646</v>
      </c>
      <c r="K30" s="2" t="n">
        <v>0.12332</v>
      </c>
      <c r="L30" s="2" t="n">
        <v>2.21126</v>
      </c>
    </row>
    <row r="31" customFormat="false" ht="15" hidden="false" customHeight="false" outlineLevel="0" collapsed="false">
      <c r="A31" s="2" t="s">
        <v>47</v>
      </c>
      <c r="B31" s="2" t="s">
        <v>28</v>
      </c>
      <c r="C31" s="2" t="n">
        <v>30</v>
      </c>
      <c r="D31" s="2" t="n">
        <v>6.574</v>
      </c>
      <c r="E31" s="2" t="n">
        <v>0.04612</v>
      </c>
      <c r="F31" s="2" t="n">
        <v>1.05351</v>
      </c>
      <c r="G31" s="2" t="n">
        <v>1.24823</v>
      </c>
      <c r="H31" s="2" t="n">
        <v>0.78723</v>
      </c>
      <c r="I31" s="2" t="n">
        <v>0.44974</v>
      </c>
      <c r="J31" s="2" t="n">
        <v>0.08484</v>
      </c>
      <c r="K31" s="2" t="n">
        <v>0.11451</v>
      </c>
      <c r="L31" s="2" t="n">
        <v>2.836</v>
      </c>
    </row>
    <row r="32" customFormat="false" ht="15" hidden="false" customHeight="false" outlineLevel="0" collapsed="false">
      <c r="A32" s="2" t="s">
        <v>48</v>
      </c>
      <c r="B32" s="2" t="s">
        <v>49</v>
      </c>
      <c r="C32" s="2" t="n">
        <v>31</v>
      </c>
      <c r="D32" s="2" t="n">
        <v>6.505</v>
      </c>
      <c r="E32" s="2" t="n">
        <v>0.04168</v>
      </c>
      <c r="F32" s="2" t="n">
        <v>1.17898</v>
      </c>
      <c r="G32" s="2" t="n">
        <v>1.20643</v>
      </c>
      <c r="H32" s="2" t="n">
        <v>0.84483</v>
      </c>
      <c r="I32" s="2" t="n">
        <v>0.46364</v>
      </c>
      <c r="J32" s="2" t="n">
        <v>0.02652</v>
      </c>
      <c r="K32" s="2" t="n">
        <v>0.10686</v>
      </c>
      <c r="L32" s="2" t="n">
        <v>2.67782</v>
      </c>
    </row>
    <row r="33" customFormat="false" ht="15" hidden="false" customHeight="false" outlineLevel="0" collapsed="false">
      <c r="A33" s="2" t="s">
        <v>50</v>
      </c>
      <c r="B33" s="2" t="s">
        <v>28</v>
      </c>
      <c r="C33" s="2" t="n">
        <v>32</v>
      </c>
      <c r="D33" s="2" t="n">
        <v>6.485</v>
      </c>
      <c r="E33" s="2" t="n">
        <v>0.04539</v>
      </c>
      <c r="F33" s="2" t="n">
        <v>1.06166</v>
      </c>
      <c r="G33" s="2" t="n">
        <v>1.2089</v>
      </c>
      <c r="H33" s="2" t="n">
        <v>0.8116</v>
      </c>
      <c r="I33" s="2" t="n">
        <v>0.60362</v>
      </c>
      <c r="J33" s="2" t="n">
        <v>0.24558</v>
      </c>
      <c r="K33" s="2" t="n">
        <v>0.2324</v>
      </c>
      <c r="L33" s="2" t="n">
        <v>2.32142</v>
      </c>
    </row>
    <row r="34" customFormat="false" ht="15" hidden="false" customHeight="false" outlineLevel="0" collapsed="false">
      <c r="A34" s="2" t="s">
        <v>51</v>
      </c>
      <c r="B34" s="2" t="s">
        <v>28</v>
      </c>
      <c r="C34" s="2" t="n">
        <v>33</v>
      </c>
      <c r="D34" s="2" t="n">
        <v>6.477</v>
      </c>
      <c r="E34" s="2" t="n">
        <v>0.05051</v>
      </c>
      <c r="F34" s="2" t="n">
        <v>0.91861</v>
      </c>
      <c r="G34" s="2" t="n">
        <v>1.24018</v>
      </c>
      <c r="H34" s="2" t="n">
        <v>0.69077</v>
      </c>
      <c r="I34" s="2" t="n">
        <v>0.53466</v>
      </c>
      <c r="J34" s="2" t="n">
        <v>0.0512</v>
      </c>
      <c r="K34" s="2" t="n">
        <v>0.18401</v>
      </c>
      <c r="L34" s="2" t="n">
        <v>2.85737</v>
      </c>
    </row>
    <row r="35" customFormat="false" ht="15" hidden="false" customHeight="false" outlineLevel="0" collapsed="false">
      <c r="A35" s="2" t="s">
        <v>52</v>
      </c>
      <c r="B35" s="2" t="s">
        <v>41</v>
      </c>
      <c r="C35" s="2" t="n">
        <v>34</v>
      </c>
      <c r="D35" s="2" t="n">
        <v>6.455</v>
      </c>
      <c r="E35" s="2" t="n">
        <v>0.03557</v>
      </c>
      <c r="F35" s="2" t="n">
        <v>0.9669</v>
      </c>
      <c r="G35" s="2" t="n">
        <v>1.26504</v>
      </c>
      <c r="H35" s="2" t="n">
        <v>0.7385</v>
      </c>
      <c r="I35" s="2" t="n">
        <v>0.55664</v>
      </c>
      <c r="J35" s="2" t="n">
        <v>0.03187</v>
      </c>
      <c r="K35" s="2" t="n">
        <v>0.5763</v>
      </c>
      <c r="L35" s="2" t="n">
        <v>2.31945</v>
      </c>
    </row>
    <row r="36" customFormat="false" ht="15" hidden="false" customHeight="false" outlineLevel="0" collapsed="false">
      <c r="A36" s="2" t="s">
        <v>53</v>
      </c>
      <c r="B36" s="2" t="s">
        <v>26</v>
      </c>
      <c r="C36" s="2" t="n">
        <v>35</v>
      </c>
      <c r="D36" s="2" t="n">
        <v>6.411</v>
      </c>
      <c r="E36" s="2" t="n">
        <v>0.04633</v>
      </c>
      <c r="F36" s="2" t="n">
        <v>1.39541</v>
      </c>
      <c r="G36" s="2" t="n">
        <v>1.08393</v>
      </c>
      <c r="H36" s="2" t="n">
        <v>0.72025</v>
      </c>
      <c r="I36" s="2" t="n">
        <v>0.31048</v>
      </c>
      <c r="J36" s="2" t="n">
        <v>0.32524</v>
      </c>
      <c r="K36" s="2" t="n">
        <v>0.13706</v>
      </c>
      <c r="L36" s="2" t="n">
        <v>2.43872</v>
      </c>
    </row>
    <row r="37" customFormat="false" ht="15" hidden="false" customHeight="false" outlineLevel="0" collapsed="false">
      <c r="A37" s="2" t="s">
        <v>54</v>
      </c>
      <c r="B37" s="2" t="s">
        <v>13</v>
      </c>
      <c r="C37" s="2" t="n">
        <v>36</v>
      </c>
      <c r="D37" s="2" t="n">
        <v>6.329</v>
      </c>
      <c r="E37" s="2" t="n">
        <v>0.03468</v>
      </c>
      <c r="F37" s="2" t="n">
        <v>1.23011</v>
      </c>
      <c r="G37" s="2" t="n">
        <v>1.31379</v>
      </c>
      <c r="H37" s="2" t="n">
        <v>0.95562</v>
      </c>
      <c r="I37" s="2" t="n">
        <v>0.45951</v>
      </c>
      <c r="J37" s="2" t="n">
        <v>0.06398</v>
      </c>
      <c r="K37" s="2" t="n">
        <v>0.18227</v>
      </c>
      <c r="L37" s="2" t="n">
        <v>2.12367</v>
      </c>
    </row>
    <row r="38" customFormat="false" ht="15" hidden="false" customHeight="false" outlineLevel="0" collapsed="false">
      <c r="A38" s="2" t="s">
        <v>55</v>
      </c>
      <c r="B38" s="2" t="s">
        <v>13</v>
      </c>
      <c r="C38" s="2" t="n">
        <v>37</v>
      </c>
      <c r="D38" s="2" t="n">
        <v>6.302</v>
      </c>
      <c r="E38" s="2" t="n">
        <v>0.04206</v>
      </c>
      <c r="F38" s="2" t="n">
        <v>1.2074</v>
      </c>
      <c r="G38" s="2" t="n">
        <v>1.30203</v>
      </c>
      <c r="H38" s="2" t="n">
        <v>0.88721</v>
      </c>
      <c r="I38" s="2" t="n">
        <v>0.60365</v>
      </c>
      <c r="J38" s="2" t="n">
        <v>0.13586</v>
      </c>
      <c r="K38" s="2" t="n">
        <v>0.51752</v>
      </c>
      <c r="L38" s="2" t="n">
        <v>1.6488</v>
      </c>
    </row>
    <row r="39" customFormat="false" ht="15" hidden="false" customHeight="false" outlineLevel="0" collapsed="false">
      <c r="A39" s="2" t="s">
        <v>56</v>
      </c>
      <c r="B39" s="2" t="s">
        <v>57</v>
      </c>
      <c r="C39" s="2" t="n">
        <v>38</v>
      </c>
      <c r="D39" s="2" t="n">
        <v>6.298</v>
      </c>
      <c r="E39" s="2" t="n">
        <v>0.03868</v>
      </c>
      <c r="F39" s="2" t="n">
        <v>1.29098</v>
      </c>
      <c r="G39" s="2" t="n">
        <v>1.07617</v>
      </c>
      <c r="H39" s="2" t="n">
        <v>0.8753</v>
      </c>
      <c r="I39" s="2" t="n">
        <v>0.3974</v>
      </c>
      <c r="J39" s="2" t="n">
        <v>0.08129</v>
      </c>
      <c r="K39" s="2" t="n">
        <v>0.25376</v>
      </c>
      <c r="L39" s="2" t="n">
        <v>2.32323</v>
      </c>
    </row>
    <row r="40" customFormat="false" ht="15" hidden="false" customHeight="false" outlineLevel="0" collapsed="false">
      <c r="A40" s="2" t="s">
        <v>58</v>
      </c>
      <c r="B40" s="2" t="s">
        <v>26</v>
      </c>
      <c r="C40" s="2" t="n">
        <v>39</v>
      </c>
      <c r="D40" s="2" t="n">
        <v>6.295</v>
      </c>
      <c r="E40" s="2" t="n">
        <v>0.04456</v>
      </c>
      <c r="F40" s="2" t="n">
        <v>1.55422</v>
      </c>
      <c r="G40" s="2" t="n">
        <v>1.16594</v>
      </c>
      <c r="H40" s="2" t="n">
        <v>0.72492</v>
      </c>
      <c r="I40" s="2" t="n">
        <v>0.55499</v>
      </c>
      <c r="J40" s="2" t="n">
        <v>0.25609</v>
      </c>
      <c r="K40" s="2" t="n">
        <v>0.16228</v>
      </c>
      <c r="L40" s="2" t="n">
        <v>1.87634</v>
      </c>
    </row>
    <row r="41" customFormat="false" ht="15" hidden="false" customHeight="false" outlineLevel="0" collapsed="false">
      <c r="A41" s="2" t="s">
        <v>59</v>
      </c>
      <c r="B41" s="2" t="s">
        <v>28</v>
      </c>
      <c r="C41" s="2" t="n">
        <v>40</v>
      </c>
      <c r="D41" s="2" t="n">
        <v>6.269</v>
      </c>
      <c r="E41" s="2" t="n">
        <v>0.09811</v>
      </c>
      <c r="F41" s="2" t="n">
        <v>0.99534</v>
      </c>
      <c r="G41" s="2" t="n">
        <v>0.972</v>
      </c>
      <c r="H41" s="2" t="n">
        <v>0.6082</v>
      </c>
      <c r="I41" s="2" t="n">
        <v>0.59657</v>
      </c>
      <c r="J41" s="2" t="n">
        <v>0.13633</v>
      </c>
      <c r="K41" s="2" t="n">
        <v>0.16991</v>
      </c>
      <c r="L41" s="2" t="n">
        <v>2.79094</v>
      </c>
    </row>
    <row r="42" customFormat="false" ht="15" hidden="false" customHeight="false" outlineLevel="0" collapsed="false">
      <c r="A42" s="2" t="s">
        <v>60</v>
      </c>
      <c r="B42" s="2" t="s">
        <v>28</v>
      </c>
      <c r="C42" s="2" t="n">
        <v>41</v>
      </c>
      <c r="D42" s="2" t="n">
        <v>6.168</v>
      </c>
      <c r="E42" s="2" t="n">
        <v>0.10895</v>
      </c>
      <c r="F42" s="2" t="n">
        <v>1.21183</v>
      </c>
      <c r="G42" s="2" t="n">
        <v>1.18354</v>
      </c>
      <c r="H42" s="2" t="n">
        <v>0.61483</v>
      </c>
      <c r="I42" s="2" t="n">
        <v>0.55884</v>
      </c>
      <c r="J42" s="2" t="n">
        <v>0.0114</v>
      </c>
      <c r="K42" s="2" t="n">
        <v>0.31844</v>
      </c>
      <c r="L42" s="2" t="n">
        <v>2.26882</v>
      </c>
    </row>
    <row r="43" customFormat="false" ht="15" hidden="false" customHeight="false" outlineLevel="0" collapsed="false">
      <c r="A43" s="2" t="s">
        <v>61</v>
      </c>
      <c r="B43" s="2" t="s">
        <v>28</v>
      </c>
      <c r="C43" s="2" t="n">
        <v>42</v>
      </c>
      <c r="D43" s="2" t="n">
        <v>6.13</v>
      </c>
      <c r="E43" s="2" t="n">
        <v>0.05618</v>
      </c>
      <c r="F43" s="2" t="n">
        <v>0.76454</v>
      </c>
      <c r="G43" s="2" t="n">
        <v>1.02507</v>
      </c>
      <c r="H43" s="2" t="n">
        <v>0.67737</v>
      </c>
      <c r="I43" s="2" t="n">
        <v>0.4035</v>
      </c>
      <c r="J43" s="2" t="n">
        <v>0.11776</v>
      </c>
      <c r="K43" s="2" t="n">
        <v>0.10692</v>
      </c>
      <c r="L43" s="2" t="n">
        <v>3.035</v>
      </c>
    </row>
    <row r="44" customFormat="false" ht="15" hidden="false" customHeight="false" outlineLevel="0" collapsed="false">
      <c r="A44" s="2" t="s">
        <v>62</v>
      </c>
      <c r="B44" s="2" t="s">
        <v>28</v>
      </c>
      <c r="C44" s="2" t="n">
        <v>43</v>
      </c>
      <c r="D44" s="2" t="n">
        <v>6.123</v>
      </c>
      <c r="E44" s="2" t="n">
        <v>0.05224</v>
      </c>
      <c r="F44" s="2" t="n">
        <v>0.74553</v>
      </c>
      <c r="G44" s="2" t="n">
        <v>1.04356</v>
      </c>
      <c r="H44" s="2" t="n">
        <v>0.64425</v>
      </c>
      <c r="I44" s="2" t="n">
        <v>0.57733</v>
      </c>
      <c r="J44" s="2" t="n">
        <v>0.09472</v>
      </c>
      <c r="K44" s="2" t="n">
        <v>0.27489</v>
      </c>
      <c r="L44" s="2" t="n">
        <v>2.74255</v>
      </c>
    </row>
    <row r="45" customFormat="false" ht="15" hidden="false" customHeight="false" outlineLevel="0" collapsed="false">
      <c r="A45" s="2" t="s">
        <v>63</v>
      </c>
      <c r="B45" s="2" t="s">
        <v>49</v>
      </c>
      <c r="C45" s="2" t="n">
        <v>44</v>
      </c>
      <c r="D45" s="2" t="n">
        <v>6.003</v>
      </c>
      <c r="E45" s="2" t="n">
        <v>0.04361</v>
      </c>
      <c r="F45" s="2" t="n">
        <v>0.63244</v>
      </c>
      <c r="G45" s="2" t="n">
        <v>1.34043</v>
      </c>
      <c r="H45" s="2" t="n">
        <v>0.59772</v>
      </c>
      <c r="I45" s="2" t="n">
        <v>0.65821</v>
      </c>
      <c r="J45" s="2" t="n">
        <v>0.30826</v>
      </c>
      <c r="K45" s="2" t="n">
        <v>0.22837</v>
      </c>
      <c r="L45" s="2" t="n">
        <v>2.23741</v>
      </c>
    </row>
    <row r="46" customFormat="false" ht="15" hidden="false" customHeight="false" outlineLevel="0" collapsed="false">
      <c r="A46" s="2" t="s">
        <v>64</v>
      </c>
      <c r="B46" s="2" t="s">
        <v>49</v>
      </c>
      <c r="C46" s="2" t="n">
        <v>45</v>
      </c>
      <c r="D46" s="2" t="n">
        <v>5.995</v>
      </c>
      <c r="E46" s="2" t="n">
        <v>0.04267</v>
      </c>
      <c r="F46" s="2" t="n">
        <v>1.16891</v>
      </c>
      <c r="G46" s="2" t="n">
        <v>1.26999</v>
      </c>
      <c r="H46" s="2" t="n">
        <v>0.78902</v>
      </c>
      <c r="I46" s="2" t="n">
        <v>0.31751</v>
      </c>
      <c r="J46" s="2" t="n">
        <v>0.03431</v>
      </c>
      <c r="K46" s="2" t="n">
        <v>0.16893</v>
      </c>
      <c r="L46" s="2" t="n">
        <v>2.24639</v>
      </c>
    </row>
    <row r="47" customFormat="false" ht="15" hidden="false" customHeight="false" outlineLevel="0" collapsed="false">
      <c r="A47" s="2" t="s">
        <v>65</v>
      </c>
      <c r="B47" s="2" t="s">
        <v>57</v>
      </c>
      <c r="C47" s="2" t="n">
        <v>46</v>
      </c>
      <c r="D47" s="2" t="n">
        <v>5.987</v>
      </c>
      <c r="E47" s="2" t="n">
        <v>0.03581</v>
      </c>
      <c r="F47" s="2" t="n">
        <v>1.27074</v>
      </c>
      <c r="G47" s="2" t="n">
        <v>1.25712</v>
      </c>
      <c r="H47" s="2" t="n">
        <v>0.99111</v>
      </c>
      <c r="I47" s="2" t="n">
        <v>0.49615</v>
      </c>
      <c r="J47" s="2" t="n">
        <v>0.1806</v>
      </c>
      <c r="K47" s="2" t="n">
        <v>0.10705</v>
      </c>
      <c r="L47" s="2" t="n">
        <v>1.68435</v>
      </c>
    </row>
    <row r="48" customFormat="false" ht="15" hidden="false" customHeight="false" outlineLevel="0" collapsed="false">
      <c r="A48" s="2" t="s">
        <v>66</v>
      </c>
      <c r="B48" s="2" t="s">
        <v>57</v>
      </c>
      <c r="C48" s="2" t="n">
        <v>47</v>
      </c>
      <c r="D48" s="2" t="n">
        <v>5.984</v>
      </c>
      <c r="E48" s="2" t="n">
        <v>0.04098</v>
      </c>
      <c r="F48" s="2" t="n">
        <v>1.24461</v>
      </c>
      <c r="G48" s="2" t="n">
        <v>0.95774</v>
      </c>
      <c r="H48" s="2" t="n">
        <v>0.96538</v>
      </c>
      <c r="I48" s="2" t="n">
        <v>0.33208</v>
      </c>
      <c r="J48" s="2" t="n">
        <v>0.07857</v>
      </c>
      <c r="K48" s="2" t="n">
        <v>0.18557</v>
      </c>
      <c r="L48" s="2" t="n">
        <v>2.21978</v>
      </c>
    </row>
    <row r="49" customFormat="false" ht="15" hidden="false" customHeight="false" outlineLevel="0" collapsed="false">
      <c r="A49" s="2" t="s">
        <v>67</v>
      </c>
      <c r="B49" s="2" t="s">
        <v>28</v>
      </c>
      <c r="C49" s="2" t="n">
        <v>48</v>
      </c>
      <c r="D49" s="2" t="n">
        <v>5.975</v>
      </c>
      <c r="E49" s="2" t="n">
        <v>0.04528</v>
      </c>
      <c r="F49" s="2" t="n">
        <v>0.86402</v>
      </c>
      <c r="G49" s="2" t="n">
        <v>0.99903</v>
      </c>
      <c r="H49" s="2" t="n">
        <v>0.79075</v>
      </c>
      <c r="I49" s="2" t="n">
        <v>0.48574</v>
      </c>
      <c r="J49" s="2" t="n">
        <v>0.1809</v>
      </c>
      <c r="K49" s="2" t="n">
        <v>0.11541</v>
      </c>
      <c r="L49" s="2" t="n">
        <v>2.53942</v>
      </c>
    </row>
    <row r="50" customFormat="false" ht="15" hidden="false" customHeight="false" outlineLevel="0" collapsed="false">
      <c r="A50" s="2" t="s">
        <v>68</v>
      </c>
      <c r="B50" s="2" t="s">
        <v>26</v>
      </c>
      <c r="C50" s="2" t="n">
        <v>49</v>
      </c>
      <c r="D50" s="2" t="n">
        <v>5.96</v>
      </c>
      <c r="E50" s="2" t="n">
        <v>0.05412</v>
      </c>
      <c r="F50" s="2" t="n">
        <v>1.32376</v>
      </c>
      <c r="G50" s="2" t="n">
        <v>1.21624</v>
      </c>
      <c r="H50" s="2" t="n">
        <v>0.74716</v>
      </c>
      <c r="I50" s="2" t="n">
        <v>0.45492</v>
      </c>
      <c r="J50" s="2" t="n">
        <v>0.306</v>
      </c>
      <c r="K50" s="2" t="n">
        <v>0.17362</v>
      </c>
      <c r="L50" s="2" t="n">
        <v>1.73797</v>
      </c>
    </row>
    <row r="51" customFormat="false" ht="15" hidden="false" customHeight="false" outlineLevel="0" collapsed="false">
      <c r="A51" s="2" t="s">
        <v>69</v>
      </c>
      <c r="B51" s="2" t="s">
        <v>13</v>
      </c>
      <c r="C51" s="2" t="n">
        <v>50</v>
      </c>
      <c r="D51" s="2" t="n">
        <v>5.948</v>
      </c>
      <c r="E51" s="2" t="n">
        <v>0.03914</v>
      </c>
      <c r="F51" s="2" t="n">
        <v>1.25114</v>
      </c>
      <c r="G51" s="2" t="n">
        <v>1.19777</v>
      </c>
      <c r="H51" s="2" t="n">
        <v>0.95446</v>
      </c>
      <c r="I51" s="2" t="n">
        <v>0.26236</v>
      </c>
      <c r="J51" s="2" t="n">
        <v>0.02901</v>
      </c>
      <c r="K51" s="2" t="n">
        <v>0.22823</v>
      </c>
      <c r="L51" s="2" t="n">
        <v>2.02518</v>
      </c>
    </row>
    <row r="52" customFormat="false" ht="15" hidden="false" customHeight="false" outlineLevel="0" collapsed="false">
      <c r="A52" s="2" t="s">
        <v>70</v>
      </c>
      <c r="B52" s="2" t="s">
        <v>28</v>
      </c>
      <c r="C52" s="2" t="n">
        <v>51</v>
      </c>
      <c r="D52" s="2" t="n">
        <v>5.89</v>
      </c>
      <c r="E52" s="2" t="n">
        <v>0.05642</v>
      </c>
      <c r="F52" s="2" t="n">
        <v>0.68133</v>
      </c>
      <c r="G52" s="2" t="n">
        <v>0.97841</v>
      </c>
      <c r="H52" s="2" t="n">
        <v>0.5392</v>
      </c>
      <c r="I52" s="2" t="n">
        <v>0.57414</v>
      </c>
      <c r="J52" s="2" t="n">
        <v>0.088</v>
      </c>
      <c r="K52" s="2" t="n">
        <v>0.20536</v>
      </c>
      <c r="L52" s="2" t="n">
        <v>2.82334</v>
      </c>
    </row>
    <row r="53" customFormat="false" ht="15" hidden="false" customHeight="false" outlineLevel="0" collapsed="false">
      <c r="A53" s="2" t="s">
        <v>71</v>
      </c>
      <c r="B53" s="2" t="s">
        <v>49</v>
      </c>
      <c r="C53" s="2" t="n">
        <v>52</v>
      </c>
      <c r="D53" s="2" t="n">
        <v>5.889</v>
      </c>
      <c r="E53" s="2" t="n">
        <v>0.03799</v>
      </c>
      <c r="F53" s="2" t="n">
        <v>0.59448</v>
      </c>
      <c r="G53" s="2" t="n">
        <v>1.01528</v>
      </c>
      <c r="H53" s="2" t="n">
        <v>0.61826</v>
      </c>
      <c r="I53" s="2" t="n">
        <v>0.32818</v>
      </c>
      <c r="J53" s="2" t="n">
        <v>0.01615</v>
      </c>
      <c r="K53" s="2" t="n">
        <v>0.20951</v>
      </c>
      <c r="L53" s="2" t="n">
        <v>3.10712</v>
      </c>
    </row>
    <row r="54" customFormat="false" ht="15" hidden="false" customHeight="false" outlineLevel="0" collapsed="false">
      <c r="A54" s="2" t="s">
        <v>72</v>
      </c>
      <c r="B54" s="2" t="s">
        <v>28</v>
      </c>
      <c r="C54" s="2" t="n">
        <v>53</v>
      </c>
      <c r="D54" s="2" t="n">
        <v>5.878</v>
      </c>
      <c r="E54" s="2" t="n">
        <v>0.04563</v>
      </c>
      <c r="F54" s="2" t="n">
        <v>0.75985</v>
      </c>
      <c r="G54" s="2" t="n">
        <v>1.30477</v>
      </c>
      <c r="H54" s="2" t="n">
        <v>0.66098</v>
      </c>
      <c r="I54" s="2" t="n">
        <v>0.53899</v>
      </c>
      <c r="J54" s="2" t="n">
        <v>0.08242</v>
      </c>
      <c r="K54" s="2" t="n">
        <v>0.3424</v>
      </c>
      <c r="L54" s="2" t="n">
        <v>2.18896</v>
      </c>
    </row>
    <row r="55" customFormat="false" ht="15" hidden="false" customHeight="false" outlineLevel="0" collapsed="false">
      <c r="A55" s="2" t="s">
        <v>73</v>
      </c>
      <c r="B55" s="2" t="s">
        <v>49</v>
      </c>
      <c r="C55" s="2" t="n">
        <v>54</v>
      </c>
      <c r="D55" s="2" t="n">
        <v>5.855</v>
      </c>
      <c r="E55" s="2" t="n">
        <v>0.04114</v>
      </c>
      <c r="F55" s="2" t="n">
        <v>1.12254</v>
      </c>
      <c r="G55" s="2" t="n">
        <v>1.12241</v>
      </c>
      <c r="H55" s="2" t="n">
        <v>0.64368</v>
      </c>
      <c r="I55" s="2" t="n">
        <v>0.51649</v>
      </c>
      <c r="J55" s="2" t="n">
        <v>0.08454</v>
      </c>
      <c r="K55" s="2" t="n">
        <v>0.11827</v>
      </c>
      <c r="L55" s="2" t="n">
        <v>2.24729</v>
      </c>
    </row>
    <row r="56" customFormat="false" ht="15" hidden="false" customHeight="false" outlineLevel="0" collapsed="false">
      <c r="A56" s="2" t="s">
        <v>74</v>
      </c>
      <c r="B56" s="2" t="s">
        <v>49</v>
      </c>
      <c r="C56" s="2" t="n">
        <v>55</v>
      </c>
      <c r="D56" s="2" t="n">
        <v>5.848</v>
      </c>
      <c r="E56" s="2" t="n">
        <v>0.04251</v>
      </c>
      <c r="F56" s="2" t="n">
        <v>1.18498</v>
      </c>
      <c r="G56" s="2" t="n">
        <v>1.27385</v>
      </c>
      <c r="H56" s="2" t="n">
        <v>0.87337</v>
      </c>
      <c r="I56" s="2" t="n">
        <v>0.60855</v>
      </c>
      <c r="J56" s="2" t="n">
        <v>0.03787</v>
      </c>
      <c r="K56" s="2" t="n">
        <v>0.25328</v>
      </c>
      <c r="L56" s="2" t="n">
        <v>1.61583</v>
      </c>
    </row>
    <row r="57" customFormat="false" ht="15" hidden="false" customHeight="false" outlineLevel="0" collapsed="false">
      <c r="A57" s="2" t="s">
        <v>75</v>
      </c>
      <c r="B57" s="2" t="s">
        <v>49</v>
      </c>
      <c r="C57" s="2" t="n">
        <v>56</v>
      </c>
      <c r="D57" s="2" t="n">
        <v>5.833</v>
      </c>
      <c r="E57" s="2" t="n">
        <v>0.03843</v>
      </c>
      <c r="F57" s="2" t="n">
        <v>1.14723</v>
      </c>
      <c r="G57" s="2" t="n">
        <v>1.25745</v>
      </c>
      <c r="H57" s="2" t="n">
        <v>0.73128</v>
      </c>
      <c r="I57" s="2" t="n">
        <v>0.21342</v>
      </c>
      <c r="J57" s="2" t="n">
        <v>0.01031</v>
      </c>
      <c r="K57" s="2" t="n">
        <v>0.02641</v>
      </c>
      <c r="L57" s="2" t="n">
        <v>2.44649</v>
      </c>
    </row>
    <row r="58" customFormat="false" ht="15" hidden="false" customHeight="false" outlineLevel="0" collapsed="false">
      <c r="A58" s="2" t="s">
        <v>76</v>
      </c>
      <c r="B58" s="2" t="s">
        <v>28</v>
      </c>
      <c r="C58" s="2" t="n">
        <v>57</v>
      </c>
      <c r="D58" s="2" t="n">
        <v>5.828</v>
      </c>
      <c r="E58" s="2" t="n">
        <v>0.05371</v>
      </c>
      <c r="F58" s="2" t="n">
        <v>0.59325</v>
      </c>
      <c r="G58" s="2" t="n">
        <v>1.14184</v>
      </c>
      <c r="H58" s="2" t="n">
        <v>0.74314</v>
      </c>
      <c r="I58" s="2" t="n">
        <v>0.55475</v>
      </c>
      <c r="J58" s="2" t="n">
        <v>0.19317</v>
      </c>
      <c r="K58" s="2" t="n">
        <v>0.27815</v>
      </c>
      <c r="L58" s="2" t="n">
        <v>2.32407</v>
      </c>
    </row>
    <row r="59" customFormat="false" ht="15" hidden="false" customHeight="false" outlineLevel="0" collapsed="false">
      <c r="A59" s="2" t="s">
        <v>77</v>
      </c>
      <c r="B59" s="2" t="s">
        <v>28</v>
      </c>
      <c r="C59" s="2" t="n">
        <v>58</v>
      </c>
      <c r="D59" s="2" t="n">
        <v>5.824</v>
      </c>
      <c r="E59" s="2" t="n">
        <v>0.04615</v>
      </c>
      <c r="F59" s="2" t="n">
        <v>0.90019</v>
      </c>
      <c r="G59" s="2" t="n">
        <v>0.97459</v>
      </c>
      <c r="H59" s="2" t="n">
        <v>0.73017</v>
      </c>
      <c r="I59" s="2" t="n">
        <v>0.41496</v>
      </c>
      <c r="J59" s="2" t="n">
        <v>0.05989</v>
      </c>
      <c r="K59" s="2" t="n">
        <v>0.14982</v>
      </c>
      <c r="L59" s="2" t="n">
        <v>2.5945</v>
      </c>
    </row>
    <row r="60" customFormat="false" ht="15" hidden="false" customHeight="false" outlineLevel="0" collapsed="false">
      <c r="A60" s="2" t="s">
        <v>78</v>
      </c>
      <c r="B60" s="2" t="s">
        <v>49</v>
      </c>
      <c r="C60" s="2" t="n">
        <v>59</v>
      </c>
      <c r="D60" s="2" t="n">
        <v>5.813</v>
      </c>
      <c r="E60" s="2" t="n">
        <v>0.03938</v>
      </c>
      <c r="F60" s="2" t="n">
        <v>1.03192</v>
      </c>
      <c r="G60" s="2" t="n">
        <v>1.23289</v>
      </c>
      <c r="H60" s="2" t="n">
        <v>0.73608</v>
      </c>
      <c r="I60" s="2" t="n">
        <v>0.37938</v>
      </c>
      <c r="J60" s="2" t="n">
        <v>0.1909</v>
      </c>
      <c r="K60" s="2" t="n">
        <v>0.11046</v>
      </c>
      <c r="L60" s="2" t="n">
        <v>2.1309</v>
      </c>
    </row>
    <row r="61" customFormat="false" ht="15" hidden="false" customHeight="false" outlineLevel="0" collapsed="false">
      <c r="A61" s="2" t="s">
        <v>79</v>
      </c>
      <c r="B61" s="2" t="s">
        <v>49</v>
      </c>
      <c r="C61" s="2" t="n">
        <v>60</v>
      </c>
      <c r="D61" s="2" t="n">
        <v>5.791</v>
      </c>
      <c r="E61" s="2" t="n">
        <v>0.04263</v>
      </c>
      <c r="F61" s="2" t="n">
        <v>1.12555</v>
      </c>
      <c r="G61" s="2" t="n">
        <v>1.27948</v>
      </c>
      <c r="H61" s="2" t="n">
        <v>0.77903</v>
      </c>
      <c r="I61" s="2" t="n">
        <v>0.53122</v>
      </c>
      <c r="J61" s="2" t="n">
        <v>0.04212</v>
      </c>
      <c r="K61" s="2" t="n">
        <v>0.16759</v>
      </c>
      <c r="L61" s="2" t="n">
        <v>1.86565</v>
      </c>
    </row>
    <row r="62" customFormat="false" ht="15" hidden="false" customHeight="false" outlineLevel="0" collapsed="false">
      <c r="A62" s="2" t="s">
        <v>80</v>
      </c>
      <c r="B62" s="2" t="s">
        <v>41</v>
      </c>
      <c r="C62" s="2" t="n">
        <v>61</v>
      </c>
      <c r="D62" s="2" t="n">
        <v>5.77</v>
      </c>
      <c r="E62" s="2" t="n">
        <v>0.0433</v>
      </c>
      <c r="F62" s="2" t="n">
        <v>1.12486</v>
      </c>
      <c r="G62" s="2" t="n">
        <v>1.07023</v>
      </c>
      <c r="H62" s="2" t="n">
        <v>0.72394</v>
      </c>
      <c r="I62" s="2" t="n">
        <v>0.53024</v>
      </c>
      <c r="J62" s="2" t="n">
        <v>0.10501</v>
      </c>
      <c r="K62" s="2" t="n">
        <v>0.33075</v>
      </c>
      <c r="L62" s="2" t="n">
        <v>1.88541</v>
      </c>
    </row>
    <row r="63" customFormat="false" ht="15" hidden="false" customHeight="false" outlineLevel="0" collapsed="false">
      <c r="A63" s="2" t="s">
        <v>81</v>
      </c>
      <c r="B63" s="2" t="s">
        <v>49</v>
      </c>
      <c r="C63" s="2" t="n">
        <v>62</v>
      </c>
      <c r="D63" s="2" t="n">
        <v>5.759</v>
      </c>
      <c r="E63" s="2" t="n">
        <v>0.04394</v>
      </c>
      <c r="F63" s="2" t="n">
        <v>1.08254</v>
      </c>
      <c r="G63" s="2" t="n">
        <v>0.79624</v>
      </c>
      <c r="H63" s="2" t="n">
        <v>0.78805</v>
      </c>
      <c r="I63" s="2" t="n">
        <v>0.25883</v>
      </c>
      <c r="J63" s="2" t="n">
        <v>0.0243</v>
      </c>
      <c r="K63" s="2" t="n">
        <v>0.05444</v>
      </c>
      <c r="L63" s="2" t="n">
        <v>2.75414</v>
      </c>
    </row>
    <row r="64" customFormat="false" ht="15" hidden="false" customHeight="false" outlineLevel="0" collapsed="false">
      <c r="A64" s="2" t="s">
        <v>82</v>
      </c>
      <c r="B64" s="2" t="s">
        <v>26</v>
      </c>
      <c r="C64" s="2" t="n">
        <v>63</v>
      </c>
      <c r="D64" s="2" t="n">
        <v>5.754</v>
      </c>
      <c r="E64" s="2" t="n">
        <v>0.07832</v>
      </c>
      <c r="F64" s="2" t="n">
        <v>1.13145</v>
      </c>
      <c r="G64" s="2" t="n">
        <v>1.11862</v>
      </c>
      <c r="H64" s="2" t="n">
        <v>0.7038</v>
      </c>
      <c r="I64" s="2" t="n">
        <v>0.41668</v>
      </c>
      <c r="J64" s="2" t="n">
        <v>0.11023</v>
      </c>
      <c r="K64" s="2" t="n">
        <v>0.18295</v>
      </c>
      <c r="L64" s="2" t="n">
        <v>2.09066</v>
      </c>
    </row>
    <row r="65" customFormat="false" ht="15" hidden="false" customHeight="false" outlineLevel="0" collapsed="false">
      <c r="A65" s="2" t="s">
        <v>83</v>
      </c>
      <c r="B65" s="2" t="s">
        <v>49</v>
      </c>
      <c r="C65" s="2" t="n">
        <v>64</v>
      </c>
      <c r="D65" s="2" t="n">
        <v>5.716</v>
      </c>
      <c r="E65" s="2" t="n">
        <v>0.03135</v>
      </c>
      <c r="F65" s="2" t="n">
        <v>1.13764</v>
      </c>
      <c r="G65" s="2" t="n">
        <v>1.23617</v>
      </c>
      <c r="H65" s="2" t="n">
        <v>0.66926</v>
      </c>
      <c r="I65" s="2" t="n">
        <v>0.36679</v>
      </c>
      <c r="J65" s="2" t="n">
        <v>0.03005</v>
      </c>
      <c r="K65" s="2" t="n">
        <v>0.00199</v>
      </c>
      <c r="L65" s="2" t="n">
        <v>2.27394</v>
      </c>
    </row>
    <row r="66" customFormat="false" ht="15" hidden="false" customHeight="false" outlineLevel="0" collapsed="false">
      <c r="A66" s="2" t="s">
        <v>84</v>
      </c>
      <c r="B66" s="2" t="s">
        <v>28</v>
      </c>
      <c r="C66" s="2" t="n">
        <v>65</v>
      </c>
      <c r="D66" s="2" t="n">
        <v>5.709</v>
      </c>
      <c r="E66" s="2" t="n">
        <v>0.13693</v>
      </c>
      <c r="F66" s="2" t="n">
        <v>0.81038</v>
      </c>
      <c r="G66" s="2" t="n">
        <v>1.15102</v>
      </c>
      <c r="H66" s="2" t="n">
        <v>0.68741</v>
      </c>
      <c r="I66" s="2" t="n">
        <v>0.50442</v>
      </c>
      <c r="J66" s="2" t="n">
        <v>0.02299</v>
      </c>
      <c r="K66" s="2" t="n">
        <v>0.2123</v>
      </c>
      <c r="L66" s="2" t="n">
        <v>2.32038</v>
      </c>
    </row>
    <row r="67" customFormat="false" ht="15" hidden="false" customHeight="false" outlineLevel="0" collapsed="false">
      <c r="A67" s="2" t="s">
        <v>85</v>
      </c>
      <c r="B67" s="2" t="s">
        <v>13</v>
      </c>
      <c r="C67" s="2" t="n">
        <v>66</v>
      </c>
      <c r="D67" s="2" t="n">
        <v>5.695</v>
      </c>
      <c r="E67" s="2" t="n">
        <v>0.05635</v>
      </c>
      <c r="F67" s="2" t="n">
        <v>1.20806</v>
      </c>
      <c r="G67" s="2" t="n">
        <v>1.07008</v>
      </c>
      <c r="H67" s="2" t="n">
        <v>0.92356</v>
      </c>
      <c r="I67" s="2" t="n">
        <v>0.49027</v>
      </c>
      <c r="J67" s="2" t="n">
        <v>0.1428</v>
      </c>
      <c r="K67" s="2" t="n">
        <v>0.26169</v>
      </c>
      <c r="L67" s="2" t="n">
        <v>1.59888</v>
      </c>
    </row>
    <row r="68" customFormat="false" ht="15" hidden="false" customHeight="false" outlineLevel="0" collapsed="false">
      <c r="A68" s="2" t="s">
        <v>86</v>
      </c>
      <c r="B68" s="2" t="s">
        <v>13</v>
      </c>
      <c r="C68" s="2" t="n">
        <v>67</v>
      </c>
      <c r="D68" s="2" t="n">
        <v>5.689</v>
      </c>
      <c r="E68" s="2" t="n">
        <v>0.0558</v>
      </c>
      <c r="F68" s="2" t="n">
        <v>1.20813</v>
      </c>
      <c r="G68" s="2" t="n">
        <v>0.89318</v>
      </c>
      <c r="H68" s="2" t="n">
        <v>0.92356</v>
      </c>
      <c r="I68" s="2" t="n">
        <v>0.40672</v>
      </c>
      <c r="J68" s="2" t="n">
        <v>0.06146</v>
      </c>
      <c r="K68" s="2" t="n">
        <v>0.30638</v>
      </c>
      <c r="L68" s="2" t="n">
        <v>1.88931</v>
      </c>
    </row>
    <row r="69" customFormat="false" ht="15" hidden="false" customHeight="false" outlineLevel="0" collapsed="false">
      <c r="A69" s="2" t="s">
        <v>87</v>
      </c>
      <c r="B69" s="2" t="s">
        <v>26</v>
      </c>
      <c r="C69" s="2" t="n">
        <v>68</v>
      </c>
      <c r="D69" s="2" t="n">
        <v>5.605</v>
      </c>
      <c r="E69" s="2" t="n">
        <v>0.05099</v>
      </c>
      <c r="F69" s="2" t="n">
        <v>0.93929</v>
      </c>
      <c r="G69" s="2" t="n">
        <v>1.07772</v>
      </c>
      <c r="H69" s="2" t="n">
        <v>0.61766</v>
      </c>
      <c r="I69" s="2" t="n">
        <v>0.28579</v>
      </c>
      <c r="J69" s="2" t="n">
        <v>0.17383</v>
      </c>
      <c r="K69" s="2" t="n">
        <v>0.07822</v>
      </c>
      <c r="L69" s="2" t="n">
        <v>2.43209</v>
      </c>
    </row>
    <row r="70" customFormat="false" ht="15" hidden="false" customHeight="false" outlineLevel="0" collapsed="false">
      <c r="A70" s="2" t="s">
        <v>88</v>
      </c>
      <c r="B70" s="2" t="s">
        <v>49</v>
      </c>
      <c r="C70" s="2" t="n">
        <v>69</v>
      </c>
      <c r="D70" s="2" t="n">
        <v>5.589</v>
      </c>
      <c r="E70" s="2" t="n">
        <v>0.05018</v>
      </c>
      <c r="F70" s="2" t="n">
        <v>0.80148</v>
      </c>
      <c r="G70" s="2" t="n">
        <v>0.81198</v>
      </c>
      <c r="H70" s="2" t="n">
        <v>0.63132</v>
      </c>
      <c r="I70" s="2" t="n">
        <v>0.24749</v>
      </c>
      <c r="J70" s="2" t="n">
        <v>0.04741</v>
      </c>
      <c r="K70" s="2" t="n">
        <v>0.2831</v>
      </c>
      <c r="L70" s="2" t="n">
        <v>2.76579</v>
      </c>
    </row>
    <row r="71" customFormat="false" ht="15" hidden="false" customHeight="false" outlineLevel="0" collapsed="false">
      <c r="A71" s="2" t="s">
        <v>89</v>
      </c>
      <c r="B71" s="2" t="s">
        <v>49</v>
      </c>
      <c r="C71" s="2" t="n">
        <v>70</v>
      </c>
      <c r="D71" s="2" t="n">
        <v>5.548</v>
      </c>
      <c r="E71" s="2" t="n">
        <v>0.04175</v>
      </c>
      <c r="F71" s="2" t="n">
        <v>0.95847</v>
      </c>
      <c r="G71" s="2" t="n">
        <v>1.22668</v>
      </c>
      <c r="H71" s="2" t="n">
        <v>0.53886</v>
      </c>
      <c r="I71" s="2" t="n">
        <v>0.4761</v>
      </c>
      <c r="J71" s="2" t="n">
        <v>0.30844</v>
      </c>
      <c r="K71" s="2" t="n">
        <v>0.16979</v>
      </c>
      <c r="L71" s="2" t="n">
        <v>1.86984</v>
      </c>
    </row>
    <row r="72" customFormat="false" ht="15" hidden="false" customHeight="false" outlineLevel="0" collapsed="false">
      <c r="A72" s="2" t="s">
        <v>90</v>
      </c>
      <c r="B72" s="2" t="s">
        <v>91</v>
      </c>
      <c r="C72" s="2" t="n">
        <v>71</v>
      </c>
      <c r="D72" s="2" t="n">
        <v>5.477</v>
      </c>
      <c r="E72" s="2" t="n">
        <v>0.07197</v>
      </c>
      <c r="F72" s="2" t="n">
        <v>1.00761</v>
      </c>
      <c r="G72" s="2" t="n">
        <v>0.98521</v>
      </c>
      <c r="H72" s="2" t="n">
        <v>0.7095</v>
      </c>
      <c r="I72" s="2" t="n">
        <v>0.56066</v>
      </c>
      <c r="J72" s="2" t="n">
        <v>0.07521</v>
      </c>
      <c r="K72" s="2" t="n">
        <v>0.37744</v>
      </c>
      <c r="L72" s="2" t="n">
        <v>1.76145</v>
      </c>
    </row>
    <row r="73" customFormat="false" ht="15" hidden="false" customHeight="false" outlineLevel="0" collapsed="false">
      <c r="A73" s="2" t="s">
        <v>92</v>
      </c>
      <c r="B73" s="2" t="s">
        <v>57</v>
      </c>
      <c r="C73" s="2" t="n">
        <v>72</v>
      </c>
      <c r="D73" s="2" t="n">
        <v>5.474</v>
      </c>
      <c r="E73" s="2" t="n">
        <v>0.05051</v>
      </c>
      <c r="F73" s="2" t="n">
        <v>1.38604</v>
      </c>
      <c r="G73" s="2" t="n">
        <v>1.05818</v>
      </c>
      <c r="H73" s="2" t="n">
        <v>1.01328</v>
      </c>
      <c r="I73" s="2" t="n">
        <v>0.59608</v>
      </c>
      <c r="J73" s="2" t="n">
        <v>0.37124</v>
      </c>
      <c r="K73" s="2" t="n">
        <v>0.39478</v>
      </c>
      <c r="L73" s="2" t="n">
        <v>0.65429</v>
      </c>
    </row>
    <row r="74" customFormat="false" ht="15" hidden="false" customHeight="false" outlineLevel="0" collapsed="false">
      <c r="A74" s="2" t="s">
        <v>93</v>
      </c>
      <c r="B74" s="2" t="s">
        <v>49</v>
      </c>
      <c r="C74" s="2" t="n">
        <v>73</v>
      </c>
      <c r="D74" s="2" t="n">
        <v>5.429</v>
      </c>
      <c r="E74" s="2" t="n">
        <v>0.04013</v>
      </c>
      <c r="F74" s="2" t="n">
        <v>1.15174</v>
      </c>
      <c r="G74" s="2" t="n">
        <v>1.22791</v>
      </c>
      <c r="H74" s="2" t="n">
        <v>0.77361</v>
      </c>
      <c r="I74" s="2" t="n">
        <v>0.44888</v>
      </c>
      <c r="J74" s="2" t="n">
        <v>0.15184</v>
      </c>
      <c r="K74" s="2" t="n">
        <v>0.0868</v>
      </c>
      <c r="L74" s="2" t="n">
        <v>1.58782</v>
      </c>
    </row>
    <row r="75" customFormat="false" ht="15" hidden="false" customHeight="false" outlineLevel="0" collapsed="false">
      <c r="A75" s="2" t="s">
        <v>94</v>
      </c>
      <c r="B75" s="2" t="s">
        <v>41</v>
      </c>
      <c r="C75" s="2" t="n">
        <v>74</v>
      </c>
      <c r="D75" s="2" t="n">
        <v>5.399</v>
      </c>
      <c r="E75" s="2" t="n">
        <v>0.02596</v>
      </c>
      <c r="F75" s="2" t="n">
        <v>0.82827</v>
      </c>
      <c r="G75" s="2" t="n">
        <v>1.08708</v>
      </c>
      <c r="H75" s="2" t="n">
        <v>0.63793</v>
      </c>
      <c r="I75" s="2" t="n">
        <v>0.46611</v>
      </c>
      <c r="J75" s="2" t="n">
        <v>0</v>
      </c>
      <c r="K75" s="2" t="n">
        <v>0.51535</v>
      </c>
      <c r="L75" s="2" t="n">
        <v>1.86399</v>
      </c>
    </row>
    <row r="76" customFormat="false" ht="15" hidden="false" customHeight="false" outlineLevel="0" collapsed="false">
      <c r="A76" s="2" t="s">
        <v>95</v>
      </c>
      <c r="B76" s="2" t="s">
        <v>41</v>
      </c>
      <c r="C76" s="2" t="n">
        <v>75</v>
      </c>
      <c r="D76" s="2" t="n">
        <v>5.36</v>
      </c>
      <c r="E76" s="2" t="n">
        <v>0.03107</v>
      </c>
      <c r="F76" s="2" t="n">
        <v>0.63216</v>
      </c>
      <c r="G76" s="2" t="n">
        <v>0.91226</v>
      </c>
      <c r="H76" s="2" t="n">
        <v>0.74676</v>
      </c>
      <c r="I76" s="2" t="n">
        <v>0.59444</v>
      </c>
      <c r="J76" s="2" t="n">
        <v>0.10441</v>
      </c>
      <c r="K76" s="2" t="n">
        <v>0.1686</v>
      </c>
      <c r="L76" s="2" t="n">
        <v>2.20173</v>
      </c>
    </row>
    <row r="77" customFormat="false" ht="15" hidden="false" customHeight="false" outlineLevel="0" collapsed="false">
      <c r="A77" s="2" t="s">
        <v>96</v>
      </c>
      <c r="B77" s="2" t="s">
        <v>26</v>
      </c>
      <c r="C77" s="2" t="n">
        <v>76</v>
      </c>
      <c r="D77" s="2" t="n">
        <v>5.332</v>
      </c>
      <c r="E77" s="2" t="n">
        <v>0.03864</v>
      </c>
      <c r="F77" s="2" t="n">
        <v>1.06098</v>
      </c>
      <c r="G77" s="2" t="n">
        <v>0.94632</v>
      </c>
      <c r="H77" s="2" t="n">
        <v>0.73172</v>
      </c>
      <c r="I77" s="2" t="n">
        <v>0.22815</v>
      </c>
      <c r="J77" s="2" t="n">
        <v>0.15746</v>
      </c>
      <c r="K77" s="2" t="n">
        <v>0.12253</v>
      </c>
      <c r="L77" s="2" t="n">
        <v>2.08528</v>
      </c>
    </row>
    <row r="78" customFormat="false" ht="15" hidden="false" customHeight="false" outlineLevel="0" collapsed="false">
      <c r="A78" s="2" t="s">
        <v>97</v>
      </c>
      <c r="B78" s="2" t="s">
        <v>49</v>
      </c>
      <c r="C78" s="2" t="n">
        <v>77</v>
      </c>
      <c r="D78" s="2" t="n">
        <v>5.286</v>
      </c>
      <c r="E78" s="2" t="n">
        <v>0.03823</v>
      </c>
      <c r="F78" s="2" t="n">
        <v>0.47428</v>
      </c>
      <c r="G78" s="2" t="n">
        <v>1.15115</v>
      </c>
      <c r="H78" s="2" t="n">
        <v>0.65088</v>
      </c>
      <c r="I78" s="2" t="n">
        <v>0.43477</v>
      </c>
      <c r="J78" s="2" t="n">
        <v>0.04232</v>
      </c>
      <c r="K78" s="2" t="n">
        <v>0.3003</v>
      </c>
      <c r="L78" s="2" t="n">
        <v>2.2327</v>
      </c>
    </row>
    <row r="79" customFormat="false" ht="15" hidden="false" customHeight="false" outlineLevel="0" collapsed="false">
      <c r="A79" s="2" t="s">
        <v>98</v>
      </c>
      <c r="B79" s="2" t="s">
        <v>91</v>
      </c>
      <c r="C79" s="2" t="n">
        <v>78</v>
      </c>
      <c r="D79" s="2" t="n">
        <v>5.268</v>
      </c>
      <c r="E79" s="2" t="n">
        <v>0.04192</v>
      </c>
      <c r="F79" s="2" t="n">
        <v>0.65435</v>
      </c>
      <c r="G79" s="2" t="n">
        <v>0.90432</v>
      </c>
      <c r="H79" s="2" t="n">
        <v>0.16007</v>
      </c>
      <c r="I79" s="2" t="n">
        <v>0.34334</v>
      </c>
      <c r="J79" s="2" t="n">
        <v>0.0403</v>
      </c>
      <c r="K79" s="2" t="n">
        <v>0.27233</v>
      </c>
      <c r="L79" s="2" t="n">
        <v>2.89319</v>
      </c>
    </row>
    <row r="80" customFormat="false" ht="15" hidden="false" customHeight="false" outlineLevel="0" collapsed="false">
      <c r="A80" s="2" t="s">
        <v>99</v>
      </c>
      <c r="B80" s="2" t="s">
        <v>100</v>
      </c>
      <c r="C80" s="2" t="n">
        <v>79</v>
      </c>
      <c r="D80" s="2" t="n">
        <v>5.253</v>
      </c>
      <c r="E80" s="2" t="n">
        <v>0.03225</v>
      </c>
      <c r="F80" s="2" t="n">
        <v>0.77042</v>
      </c>
      <c r="G80" s="2" t="n">
        <v>1.10395</v>
      </c>
      <c r="H80" s="2" t="n">
        <v>0.57407</v>
      </c>
      <c r="I80" s="2" t="n">
        <v>0.53206</v>
      </c>
      <c r="J80" s="2" t="n">
        <v>0.15445</v>
      </c>
      <c r="K80" s="2" t="n">
        <v>0.47998</v>
      </c>
      <c r="L80" s="2" t="n">
        <v>1.63794</v>
      </c>
    </row>
    <row r="81" customFormat="false" ht="15" hidden="false" customHeight="false" outlineLevel="0" collapsed="false">
      <c r="A81" s="2" t="s">
        <v>101</v>
      </c>
      <c r="B81" s="2" t="s">
        <v>49</v>
      </c>
      <c r="C81" s="2" t="n">
        <v>80</v>
      </c>
      <c r="D81" s="2" t="n">
        <v>5.212</v>
      </c>
      <c r="E81" s="2" t="n">
        <v>0.03363</v>
      </c>
      <c r="F81" s="2" t="n">
        <v>1.02389</v>
      </c>
      <c r="G81" s="2" t="n">
        <v>0.93793</v>
      </c>
      <c r="H81" s="2" t="n">
        <v>0.64045</v>
      </c>
      <c r="I81" s="2" t="n">
        <v>0.3703</v>
      </c>
      <c r="J81" s="2" t="n">
        <v>0.16065</v>
      </c>
      <c r="K81" s="2" t="n">
        <v>0.07799</v>
      </c>
      <c r="L81" s="2" t="n">
        <v>2.00073</v>
      </c>
    </row>
    <row r="82" customFormat="false" ht="15" hidden="false" customHeight="false" outlineLevel="0" collapsed="false">
      <c r="A82" s="2" t="s">
        <v>102</v>
      </c>
      <c r="B82" s="2" t="s">
        <v>100</v>
      </c>
      <c r="C82" s="2" t="n">
        <v>81</v>
      </c>
      <c r="D82" s="2" t="n">
        <v>5.194</v>
      </c>
      <c r="E82" s="2" t="n">
        <v>0.03726</v>
      </c>
      <c r="F82" s="2" t="n">
        <v>0.59543</v>
      </c>
      <c r="G82" s="2" t="n">
        <v>0.41411</v>
      </c>
      <c r="H82" s="2" t="n">
        <v>0.51466</v>
      </c>
      <c r="I82" s="2" t="n">
        <v>0.12102</v>
      </c>
      <c r="J82" s="2" t="n">
        <v>0.10464</v>
      </c>
      <c r="K82" s="2" t="n">
        <v>0.33671</v>
      </c>
      <c r="L82" s="2" t="n">
        <v>3.10709</v>
      </c>
    </row>
    <row r="83" customFormat="false" ht="15" hidden="false" customHeight="false" outlineLevel="0" collapsed="false">
      <c r="A83" s="2" t="s">
        <v>103</v>
      </c>
      <c r="B83" s="2" t="s">
        <v>26</v>
      </c>
      <c r="C83" s="2" t="n">
        <v>82</v>
      </c>
      <c r="D83" s="2" t="n">
        <v>5.192</v>
      </c>
      <c r="E83" s="2" t="n">
        <v>0.04524</v>
      </c>
      <c r="F83" s="2" t="n">
        <v>0.90198</v>
      </c>
      <c r="G83" s="2" t="n">
        <v>1.05392</v>
      </c>
      <c r="H83" s="2" t="n">
        <v>0.69639</v>
      </c>
      <c r="I83" s="2" t="n">
        <v>0.40661</v>
      </c>
      <c r="J83" s="2" t="n">
        <v>0.14293</v>
      </c>
      <c r="K83" s="2" t="n">
        <v>0.11053</v>
      </c>
      <c r="L83" s="2" t="n">
        <v>1.87996</v>
      </c>
    </row>
    <row r="84" customFormat="false" ht="15" hidden="false" customHeight="false" outlineLevel="0" collapsed="false">
      <c r="A84" s="2" t="s">
        <v>104</v>
      </c>
      <c r="B84" s="2" t="s">
        <v>49</v>
      </c>
      <c r="C84" s="2" t="n">
        <v>82</v>
      </c>
      <c r="D84" s="2" t="n">
        <v>5.192</v>
      </c>
      <c r="E84" s="2" t="n">
        <v>0.05235</v>
      </c>
      <c r="F84" s="2" t="n">
        <v>0.97438</v>
      </c>
      <c r="G84" s="2" t="n">
        <v>0.90557</v>
      </c>
      <c r="H84" s="2" t="n">
        <v>0.72521</v>
      </c>
      <c r="I84" s="2" t="n">
        <v>0.1826</v>
      </c>
      <c r="J84" s="2" t="n">
        <v>0.14296</v>
      </c>
      <c r="K84" s="2" t="n">
        <v>0.1614</v>
      </c>
      <c r="L84" s="2" t="n">
        <v>2.10017</v>
      </c>
    </row>
    <row r="85" customFormat="false" ht="15" hidden="false" customHeight="false" outlineLevel="0" collapsed="false">
      <c r="A85" s="2" t="s">
        <v>105</v>
      </c>
      <c r="B85" s="2" t="s">
        <v>57</v>
      </c>
      <c r="C85" s="2" t="n">
        <v>84</v>
      </c>
      <c r="D85" s="2" t="n">
        <v>5.14</v>
      </c>
      <c r="E85" s="2" t="n">
        <v>0.02424</v>
      </c>
      <c r="F85" s="2" t="n">
        <v>0.89012</v>
      </c>
      <c r="G85" s="2" t="n">
        <v>0.94675</v>
      </c>
      <c r="H85" s="2" t="n">
        <v>0.81658</v>
      </c>
      <c r="I85" s="2" t="n">
        <v>0.51697</v>
      </c>
      <c r="J85" s="2" t="n">
        <v>0.02781</v>
      </c>
      <c r="K85" s="2" t="n">
        <v>0.08185</v>
      </c>
      <c r="L85" s="2" t="n">
        <v>1.8604</v>
      </c>
    </row>
    <row r="86" customFormat="false" ht="15" hidden="false" customHeight="false" outlineLevel="0" collapsed="false">
      <c r="A86" s="2" t="s">
        <v>106</v>
      </c>
      <c r="B86" s="2" t="s">
        <v>91</v>
      </c>
      <c r="C86" s="2" t="n">
        <v>85</v>
      </c>
      <c r="D86" s="2" t="n">
        <v>5.129</v>
      </c>
      <c r="E86" s="2" t="n">
        <v>0.06988</v>
      </c>
      <c r="F86" s="2" t="n">
        <v>0.47038</v>
      </c>
      <c r="G86" s="2" t="n">
        <v>0.91612</v>
      </c>
      <c r="H86" s="2" t="n">
        <v>0.29924</v>
      </c>
      <c r="I86" s="2" t="n">
        <v>0.48827</v>
      </c>
      <c r="J86" s="2" t="n">
        <v>0.12468</v>
      </c>
      <c r="K86" s="2" t="n">
        <v>0.19591</v>
      </c>
      <c r="L86" s="2" t="n">
        <v>2.6343</v>
      </c>
    </row>
    <row r="87" customFormat="false" ht="15" hidden="false" customHeight="false" outlineLevel="0" collapsed="false">
      <c r="A87" s="2" t="s">
        <v>107</v>
      </c>
      <c r="B87" s="2" t="s">
        <v>49</v>
      </c>
      <c r="C87" s="2" t="n">
        <v>86</v>
      </c>
      <c r="D87" s="2" t="n">
        <v>5.124</v>
      </c>
      <c r="E87" s="2" t="n">
        <v>0.06607</v>
      </c>
      <c r="F87" s="2" t="n">
        <v>1.04345</v>
      </c>
      <c r="G87" s="2" t="n">
        <v>0.88588</v>
      </c>
      <c r="H87" s="2" t="n">
        <v>0.7689</v>
      </c>
      <c r="I87" s="2" t="n">
        <v>0.35068</v>
      </c>
      <c r="J87" s="2" t="n">
        <v>0.00649</v>
      </c>
      <c r="K87" s="2" t="n">
        <v>0.13748</v>
      </c>
      <c r="L87" s="2" t="n">
        <v>1.93129</v>
      </c>
    </row>
    <row r="88" customFormat="false" ht="15" hidden="false" customHeight="false" outlineLevel="0" collapsed="false">
      <c r="A88" s="2" t="s">
        <v>108</v>
      </c>
      <c r="B88" s="2" t="s">
        <v>49</v>
      </c>
      <c r="C88" s="2" t="n">
        <v>87</v>
      </c>
      <c r="D88" s="2" t="n">
        <v>5.123</v>
      </c>
      <c r="E88" s="2" t="n">
        <v>0.04864</v>
      </c>
      <c r="F88" s="2" t="n">
        <v>0.92053</v>
      </c>
      <c r="G88" s="2" t="n">
        <v>1.00964</v>
      </c>
      <c r="H88" s="2" t="n">
        <v>0.74836</v>
      </c>
      <c r="I88" s="2" t="n">
        <v>0.20107</v>
      </c>
      <c r="J88" s="2" t="n">
        <v>0.02617</v>
      </c>
      <c r="K88" s="2" t="n">
        <v>0.19231</v>
      </c>
      <c r="L88" s="2" t="n">
        <v>2.025</v>
      </c>
    </row>
    <row r="89" customFormat="false" ht="15" hidden="false" customHeight="false" outlineLevel="0" collapsed="false">
      <c r="A89" s="2" t="s">
        <v>109</v>
      </c>
      <c r="B89" s="2" t="s">
        <v>13</v>
      </c>
      <c r="C89" s="2" t="n">
        <v>88</v>
      </c>
      <c r="D89" s="2" t="n">
        <v>5.102</v>
      </c>
      <c r="E89" s="2" t="n">
        <v>0.04802</v>
      </c>
      <c r="F89" s="2" t="n">
        <v>1.15991</v>
      </c>
      <c r="G89" s="2" t="n">
        <v>1.13935</v>
      </c>
      <c r="H89" s="2" t="n">
        <v>0.87519</v>
      </c>
      <c r="I89" s="2" t="n">
        <v>0.51469</v>
      </c>
      <c r="J89" s="2" t="n">
        <v>0.01078</v>
      </c>
      <c r="K89" s="2" t="n">
        <v>0.13719</v>
      </c>
      <c r="L89" s="2" t="n">
        <v>1.26462</v>
      </c>
    </row>
    <row r="90" customFormat="false" ht="15" hidden="false" customHeight="false" outlineLevel="0" collapsed="false">
      <c r="A90" s="2" t="s">
        <v>110</v>
      </c>
      <c r="B90" s="2" t="s">
        <v>49</v>
      </c>
      <c r="C90" s="2" t="n">
        <v>89</v>
      </c>
      <c r="D90" s="2" t="n">
        <v>5.098</v>
      </c>
      <c r="E90" s="2" t="n">
        <v>0.0464</v>
      </c>
      <c r="F90" s="2" t="n">
        <v>1.11312</v>
      </c>
      <c r="G90" s="2" t="n">
        <v>1.09562</v>
      </c>
      <c r="H90" s="2" t="n">
        <v>0.72437</v>
      </c>
      <c r="I90" s="2" t="n">
        <v>0.29671</v>
      </c>
      <c r="J90" s="2" t="n">
        <v>0.06332</v>
      </c>
      <c r="K90" s="2" t="n">
        <v>0.18226</v>
      </c>
      <c r="L90" s="2" t="n">
        <v>1.62215</v>
      </c>
    </row>
    <row r="91" customFormat="false" ht="15" hidden="false" customHeight="false" outlineLevel="0" collapsed="false">
      <c r="A91" s="2" t="s">
        <v>111</v>
      </c>
      <c r="B91" s="2" t="s">
        <v>41</v>
      </c>
      <c r="C91" s="2" t="n">
        <v>90</v>
      </c>
      <c r="D91" s="2" t="n">
        <v>5.073</v>
      </c>
      <c r="E91" s="2" t="n">
        <v>0.04934</v>
      </c>
      <c r="F91" s="2" t="n">
        <v>0.70532</v>
      </c>
      <c r="G91" s="2" t="n">
        <v>1.03516</v>
      </c>
      <c r="H91" s="2" t="n">
        <v>0.58114</v>
      </c>
      <c r="I91" s="2" t="n">
        <v>0.62545</v>
      </c>
      <c r="J91" s="2" t="n">
        <v>0.12279</v>
      </c>
      <c r="K91" s="2" t="n">
        <v>0.24991</v>
      </c>
      <c r="L91" s="2" t="n">
        <v>1.7536</v>
      </c>
    </row>
    <row r="92" customFormat="false" ht="15" hidden="false" customHeight="false" outlineLevel="0" collapsed="false">
      <c r="A92" s="2" t="s">
        <v>112</v>
      </c>
      <c r="B92" s="2" t="s">
        <v>91</v>
      </c>
      <c r="C92" s="2" t="n">
        <v>91</v>
      </c>
      <c r="D92" s="2" t="n">
        <v>5.057</v>
      </c>
      <c r="E92" s="2" t="n">
        <v>0.06161</v>
      </c>
      <c r="F92" s="2" t="n">
        <v>0.18847</v>
      </c>
      <c r="G92" s="2" t="n">
        <v>0.95152</v>
      </c>
      <c r="H92" s="2" t="n">
        <v>0.43873</v>
      </c>
      <c r="I92" s="2" t="n">
        <v>0.46582</v>
      </c>
      <c r="J92" s="2" t="n">
        <v>0.39928</v>
      </c>
      <c r="K92" s="2" t="n">
        <v>0.50318</v>
      </c>
      <c r="L92" s="2" t="n">
        <v>2.11032</v>
      </c>
    </row>
    <row r="93" customFormat="false" ht="15" hidden="false" customHeight="false" outlineLevel="0" collapsed="false">
      <c r="A93" s="2" t="s">
        <v>113</v>
      </c>
      <c r="B93" s="2" t="s">
        <v>26</v>
      </c>
      <c r="C93" s="2" t="n">
        <v>92</v>
      </c>
      <c r="D93" s="2" t="n">
        <v>5.013</v>
      </c>
      <c r="E93" s="2" t="n">
        <v>0.0342</v>
      </c>
      <c r="F93" s="2" t="n">
        <v>0.73479</v>
      </c>
      <c r="G93" s="2" t="n">
        <v>0.64095</v>
      </c>
      <c r="H93" s="2" t="n">
        <v>0.60954</v>
      </c>
      <c r="I93" s="2" t="n">
        <v>0.41691</v>
      </c>
      <c r="J93" s="2" t="n">
        <v>0.08546</v>
      </c>
      <c r="K93" s="2" t="n">
        <v>0.07172</v>
      </c>
      <c r="L93" s="2" t="n">
        <v>2.45373</v>
      </c>
    </row>
    <row r="94" customFormat="false" ht="15" hidden="false" customHeight="false" outlineLevel="0" collapsed="false">
      <c r="A94" s="2" t="s">
        <v>114</v>
      </c>
      <c r="B94" s="2" t="s">
        <v>49</v>
      </c>
      <c r="C94" s="2" t="n">
        <v>93</v>
      </c>
      <c r="D94" s="2" t="n">
        <v>5.007</v>
      </c>
      <c r="E94" s="2" t="n">
        <v>0.05376</v>
      </c>
      <c r="F94" s="2" t="n">
        <v>0.91851</v>
      </c>
      <c r="G94" s="2" t="n">
        <v>1.00232</v>
      </c>
      <c r="H94" s="2" t="n">
        <v>0.73545</v>
      </c>
      <c r="I94" s="2" t="n">
        <v>0.33457</v>
      </c>
      <c r="J94" s="2" t="n">
        <v>0.05327</v>
      </c>
      <c r="K94" s="2" t="n">
        <v>0.22359</v>
      </c>
      <c r="L94" s="2" t="n">
        <v>1.73933</v>
      </c>
    </row>
    <row r="95" customFormat="false" ht="15" hidden="false" customHeight="false" outlineLevel="0" collapsed="false">
      <c r="A95" s="2" t="s">
        <v>115</v>
      </c>
      <c r="B95" s="2" t="s">
        <v>91</v>
      </c>
      <c r="C95" s="2" t="n">
        <v>94</v>
      </c>
      <c r="D95" s="2" t="n">
        <v>4.971</v>
      </c>
      <c r="E95" s="2" t="n">
        <v>0.07896</v>
      </c>
      <c r="F95" s="2" t="n">
        <v>0.08308</v>
      </c>
      <c r="G95" s="2" t="n">
        <v>1.02626</v>
      </c>
      <c r="H95" s="2" t="n">
        <v>0.09131</v>
      </c>
      <c r="I95" s="2" t="n">
        <v>0.34037</v>
      </c>
      <c r="J95" s="2" t="n">
        <v>0.15603</v>
      </c>
      <c r="K95" s="2" t="n">
        <v>0.22269</v>
      </c>
      <c r="L95" s="2" t="n">
        <v>3.05137</v>
      </c>
    </row>
    <row r="96" customFormat="false" ht="15" hidden="false" customHeight="false" outlineLevel="0" collapsed="false">
      <c r="A96" s="2" t="s">
        <v>116</v>
      </c>
      <c r="B96" s="2" t="s">
        <v>49</v>
      </c>
      <c r="C96" s="2" t="n">
        <v>95</v>
      </c>
      <c r="D96" s="2" t="n">
        <v>4.959</v>
      </c>
      <c r="E96" s="2" t="n">
        <v>0.05013</v>
      </c>
      <c r="F96" s="2" t="n">
        <v>0.87867</v>
      </c>
      <c r="G96" s="2" t="n">
        <v>0.80434</v>
      </c>
      <c r="H96" s="2" t="n">
        <v>0.81325</v>
      </c>
      <c r="I96" s="2" t="n">
        <v>0.35733</v>
      </c>
      <c r="J96" s="2" t="n">
        <v>0.06413</v>
      </c>
      <c r="K96" s="2" t="n">
        <v>0.14272</v>
      </c>
      <c r="L96" s="2" t="n">
        <v>1.89894</v>
      </c>
    </row>
    <row r="97" customFormat="false" ht="15" hidden="false" customHeight="false" outlineLevel="0" collapsed="false">
      <c r="A97" s="2" t="s">
        <v>117</v>
      </c>
      <c r="B97" s="2" t="s">
        <v>49</v>
      </c>
      <c r="C97" s="2" t="n">
        <v>96</v>
      </c>
      <c r="D97" s="2" t="n">
        <v>4.949</v>
      </c>
      <c r="E97" s="2" t="n">
        <v>0.06913</v>
      </c>
      <c r="F97" s="2" t="n">
        <v>0.83223</v>
      </c>
      <c r="G97" s="2" t="n">
        <v>0.91916</v>
      </c>
      <c r="H97" s="2" t="n">
        <v>0.79081</v>
      </c>
      <c r="I97" s="2" t="n">
        <v>0.09245</v>
      </c>
      <c r="J97" s="2" t="n">
        <v>0.00227</v>
      </c>
      <c r="K97" s="2" t="n">
        <v>0.24808</v>
      </c>
      <c r="L97" s="2" t="n">
        <v>2.06367</v>
      </c>
    </row>
    <row r="98" customFormat="false" ht="15" hidden="false" customHeight="false" outlineLevel="0" collapsed="false">
      <c r="A98" s="2" t="s">
        <v>118</v>
      </c>
      <c r="B98" s="2" t="s">
        <v>91</v>
      </c>
      <c r="C98" s="2" t="n">
        <v>97</v>
      </c>
      <c r="D98" s="2" t="n">
        <v>4.898</v>
      </c>
      <c r="E98" s="2" t="n">
        <v>0.09438</v>
      </c>
      <c r="F98" s="2" t="n">
        <v>0.37545</v>
      </c>
      <c r="G98" s="2" t="n">
        <v>1.04103</v>
      </c>
      <c r="H98" s="2" t="n">
        <v>0.07612</v>
      </c>
      <c r="I98" s="2" t="n">
        <v>0.31767</v>
      </c>
      <c r="J98" s="2" t="n">
        <v>0.12504</v>
      </c>
      <c r="K98" s="2" t="n">
        <v>0.16388</v>
      </c>
      <c r="L98" s="2" t="n">
        <v>2.79832</v>
      </c>
    </row>
    <row r="99" customFormat="false" ht="15" hidden="false" customHeight="false" outlineLevel="0" collapsed="false">
      <c r="A99" s="2" t="s">
        <v>119</v>
      </c>
      <c r="B99" s="2" t="s">
        <v>28</v>
      </c>
      <c r="C99" s="2" t="n">
        <v>98</v>
      </c>
      <c r="D99" s="2" t="n">
        <v>4.885</v>
      </c>
      <c r="E99" s="2" t="n">
        <v>0.07446</v>
      </c>
      <c r="F99" s="2" t="n">
        <v>0.89537</v>
      </c>
      <c r="G99" s="2" t="n">
        <v>1.17202</v>
      </c>
      <c r="H99" s="2" t="n">
        <v>0.66825</v>
      </c>
      <c r="I99" s="2" t="n">
        <v>0.57672</v>
      </c>
      <c r="J99" s="2" t="n">
        <v>0.14234</v>
      </c>
      <c r="K99" s="2" t="n">
        <v>0.21684</v>
      </c>
      <c r="L99" s="2" t="n">
        <v>1.21305</v>
      </c>
    </row>
    <row r="100" customFormat="false" ht="15" hidden="false" customHeight="false" outlineLevel="0" collapsed="false">
      <c r="A100" s="2" t="s">
        <v>120</v>
      </c>
      <c r="B100" s="2" t="s">
        <v>41</v>
      </c>
      <c r="C100" s="2" t="n">
        <v>99</v>
      </c>
      <c r="D100" s="2" t="n">
        <v>4.876</v>
      </c>
      <c r="E100" s="2" t="n">
        <v>0.06698</v>
      </c>
      <c r="F100" s="2" t="n">
        <v>0.59066</v>
      </c>
      <c r="G100" s="2" t="n">
        <v>0.73803</v>
      </c>
      <c r="H100" s="2" t="n">
        <v>0.54909</v>
      </c>
      <c r="I100" s="2" t="n">
        <v>0.59591</v>
      </c>
      <c r="J100" s="2" t="n">
        <v>0.24249</v>
      </c>
      <c r="K100" s="2" t="n">
        <v>0.42192</v>
      </c>
      <c r="L100" s="2" t="n">
        <v>1.73799</v>
      </c>
    </row>
    <row r="101" customFormat="false" ht="15" hidden="false" customHeight="false" outlineLevel="0" collapsed="false">
      <c r="A101" s="2" t="s">
        <v>121</v>
      </c>
      <c r="B101" s="2" t="s">
        <v>57</v>
      </c>
      <c r="C101" s="2" t="n">
        <v>100</v>
      </c>
      <c r="D101" s="2" t="n">
        <v>4.874</v>
      </c>
      <c r="E101" s="2" t="n">
        <v>0.03313</v>
      </c>
      <c r="F101" s="2" t="n">
        <v>0.82819</v>
      </c>
      <c r="G101" s="2" t="n">
        <v>1.3006</v>
      </c>
      <c r="H101" s="2" t="n">
        <v>0.60268</v>
      </c>
      <c r="I101" s="2" t="n">
        <v>0.43626</v>
      </c>
      <c r="J101" s="2" t="n">
        <v>0.02666</v>
      </c>
      <c r="K101" s="2" t="n">
        <v>0.3323</v>
      </c>
      <c r="L101" s="2" t="n">
        <v>1.34759</v>
      </c>
    </row>
    <row r="102" customFormat="false" ht="15" hidden="false" customHeight="false" outlineLevel="0" collapsed="false">
      <c r="A102" s="2" t="s">
        <v>122</v>
      </c>
      <c r="B102" s="2" t="s">
        <v>91</v>
      </c>
      <c r="C102" s="2" t="n">
        <v>101</v>
      </c>
      <c r="D102" s="2" t="n">
        <v>4.867</v>
      </c>
      <c r="E102" s="2" t="n">
        <v>0.08742</v>
      </c>
      <c r="F102" s="2" t="n">
        <v>0.71206</v>
      </c>
      <c r="G102" s="2" t="n">
        <v>1.07284</v>
      </c>
      <c r="H102" s="2" t="n">
        <v>0.07566</v>
      </c>
      <c r="I102" s="2" t="n">
        <v>0.30658</v>
      </c>
      <c r="J102" s="2" t="n">
        <v>0.0306</v>
      </c>
      <c r="K102" s="2" t="n">
        <v>0.18259</v>
      </c>
      <c r="L102" s="2" t="n">
        <v>2.48676</v>
      </c>
    </row>
    <row r="103" customFormat="false" ht="15" hidden="false" customHeight="false" outlineLevel="0" collapsed="false">
      <c r="A103" s="2" t="s">
        <v>123</v>
      </c>
      <c r="B103" s="2" t="s">
        <v>13</v>
      </c>
      <c r="C103" s="2" t="n">
        <v>102</v>
      </c>
      <c r="D103" s="2" t="n">
        <v>4.857</v>
      </c>
      <c r="E103" s="2" t="n">
        <v>0.05062</v>
      </c>
      <c r="F103" s="2" t="n">
        <v>1.15406</v>
      </c>
      <c r="G103" s="2" t="n">
        <v>0.92933</v>
      </c>
      <c r="H103" s="2" t="n">
        <v>0.88213</v>
      </c>
      <c r="I103" s="2" t="n">
        <v>0.07699</v>
      </c>
      <c r="J103" s="2" t="n">
        <v>0.01397</v>
      </c>
      <c r="K103" s="2" t="n">
        <v>0</v>
      </c>
      <c r="L103" s="2" t="n">
        <v>1.80101</v>
      </c>
    </row>
    <row r="104" customFormat="false" ht="15" hidden="false" customHeight="false" outlineLevel="0" collapsed="false">
      <c r="A104" s="2" t="s">
        <v>124</v>
      </c>
      <c r="B104" s="2" t="s">
        <v>26</v>
      </c>
      <c r="C104" s="2" t="n">
        <v>103</v>
      </c>
      <c r="D104" s="2" t="n">
        <v>4.839</v>
      </c>
      <c r="E104" s="2" t="n">
        <v>0.04337</v>
      </c>
      <c r="F104" s="2" t="n">
        <v>1.02564</v>
      </c>
      <c r="G104" s="2" t="n">
        <v>0.80001</v>
      </c>
      <c r="H104" s="2" t="n">
        <v>0.83947</v>
      </c>
      <c r="I104" s="2" t="n">
        <v>0.33916</v>
      </c>
      <c r="J104" s="2" t="n">
        <v>0.04582</v>
      </c>
      <c r="K104" s="2" t="n">
        <v>0.21854</v>
      </c>
      <c r="L104" s="2" t="n">
        <v>1.57059</v>
      </c>
    </row>
    <row r="105" customFormat="false" ht="15" hidden="false" customHeight="false" outlineLevel="0" collapsed="false">
      <c r="A105" s="2" t="s">
        <v>125</v>
      </c>
      <c r="B105" s="2" t="s">
        <v>49</v>
      </c>
      <c r="C105" s="2" t="n">
        <v>104</v>
      </c>
      <c r="D105" s="2" t="n">
        <v>4.8</v>
      </c>
      <c r="E105" s="2" t="n">
        <v>0.06107</v>
      </c>
      <c r="F105" s="2" t="n">
        <v>1.12094</v>
      </c>
      <c r="G105" s="2" t="n">
        <v>1.20215</v>
      </c>
      <c r="H105" s="2" t="n">
        <v>0.75905</v>
      </c>
      <c r="I105" s="2" t="n">
        <v>0.32112</v>
      </c>
      <c r="J105" s="2" t="n">
        <v>0.02758</v>
      </c>
      <c r="K105" s="2" t="n">
        <v>0.128</v>
      </c>
      <c r="L105" s="2" t="n">
        <v>1.24074</v>
      </c>
    </row>
    <row r="106" customFormat="false" ht="15" hidden="false" customHeight="false" outlineLevel="0" collapsed="false">
      <c r="A106" s="2" t="s">
        <v>126</v>
      </c>
      <c r="B106" s="2" t="s">
        <v>28</v>
      </c>
      <c r="C106" s="2" t="n">
        <v>105</v>
      </c>
      <c r="D106" s="2" t="n">
        <v>4.788</v>
      </c>
      <c r="E106" s="2" t="n">
        <v>0.05648</v>
      </c>
      <c r="F106" s="2" t="n">
        <v>0.59532</v>
      </c>
      <c r="G106" s="2" t="n">
        <v>0.95348</v>
      </c>
      <c r="H106" s="2" t="n">
        <v>0.6951</v>
      </c>
      <c r="I106" s="2" t="n">
        <v>0.40148</v>
      </c>
      <c r="J106" s="2" t="n">
        <v>0.06825</v>
      </c>
      <c r="K106" s="2" t="n">
        <v>0.23027</v>
      </c>
      <c r="L106" s="2" t="n">
        <v>1.84408</v>
      </c>
    </row>
    <row r="107" customFormat="false" ht="15" hidden="false" customHeight="false" outlineLevel="0" collapsed="false">
      <c r="A107" s="2" t="s">
        <v>127</v>
      </c>
      <c r="B107" s="2" t="s">
        <v>49</v>
      </c>
      <c r="C107" s="2" t="n">
        <v>106</v>
      </c>
      <c r="D107" s="2" t="n">
        <v>4.786</v>
      </c>
      <c r="E107" s="2" t="n">
        <v>0.03198</v>
      </c>
      <c r="F107" s="2" t="n">
        <v>0.39047</v>
      </c>
      <c r="G107" s="2" t="n">
        <v>0.85563</v>
      </c>
      <c r="H107" s="2" t="n">
        <v>0.57379</v>
      </c>
      <c r="I107" s="2" t="n">
        <v>0.47216</v>
      </c>
      <c r="J107" s="2" t="n">
        <v>0.15072</v>
      </c>
      <c r="K107" s="2" t="n">
        <v>0.22974</v>
      </c>
      <c r="L107" s="2" t="n">
        <v>2.11399</v>
      </c>
    </row>
    <row r="108" customFormat="false" ht="15" hidden="false" customHeight="false" outlineLevel="0" collapsed="false">
      <c r="A108" s="2" t="s">
        <v>128</v>
      </c>
      <c r="B108" s="2" t="s">
        <v>26</v>
      </c>
      <c r="C108" s="2" t="n">
        <v>107</v>
      </c>
      <c r="D108" s="2" t="n">
        <v>4.739</v>
      </c>
      <c r="E108" s="2" t="n">
        <v>0.03589</v>
      </c>
      <c r="F108" s="2" t="n">
        <v>0.88113</v>
      </c>
      <c r="G108" s="2" t="n">
        <v>0.60429</v>
      </c>
      <c r="H108" s="2" t="n">
        <v>0.73793</v>
      </c>
      <c r="I108" s="2" t="n">
        <v>0.26268</v>
      </c>
      <c r="J108" s="2" t="n">
        <v>0.06358</v>
      </c>
      <c r="K108" s="2" t="n">
        <v>0.06431</v>
      </c>
      <c r="L108" s="2" t="n">
        <v>2.12466</v>
      </c>
    </row>
    <row r="109" customFormat="false" ht="15" hidden="false" customHeight="false" outlineLevel="0" collapsed="false">
      <c r="A109" s="2" t="s">
        <v>129</v>
      </c>
      <c r="B109" s="2" t="s">
        <v>26</v>
      </c>
      <c r="C109" s="2" t="n">
        <v>108</v>
      </c>
      <c r="D109" s="2" t="n">
        <v>4.715</v>
      </c>
      <c r="E109" s="2" t="n">
        <v>0.04394</v>
      </c>
      <c r="F109" s="2" t="n">
        <v>0.59867</v>
      </c>
      <c r="G109" s="2" t="n">
        <v>0.92558</v>
      </c>
      <c r="H109" s="2" t="n">
        <v>0.66015</v>
      </c>
      <c r="I109" s="2" t="n">
        <v>0.24499</v>
      </c>
      <c r="J109" s="2" t="n">
        <v>0.12905</v>
      </c>
      <c r="K109" s="2" t="n">
        <v>0.11251</v>
      </c>
      <c r="L109" s="2" t="n">
        <v>2.04384</v>
      </c>
    </row>
    <row r="110" customFormat="false" ht="15" hidden="false" customHeight="false" outlineLevel="0" collapsed="false">
      <c r="A110" s="2" t="s">
        <v>130</v>
      </c>
      <c r="B110" s="2" t="s">
        <v>100</v>
      </c>
      <c r="C110" s="2" t="n">
        <v>109</v>
      </c>
      <c r="D110" s="2" t="n">
        <v>4.694</v>
      </c>
      <c r="E110" s="2" t="n">
        <v>0.03077</v>
      </c>
      <c r="F110" s="2" t="n">
        <v>0.39753</v>
      </c>
      <c r="G110" s="2" t="n">
        <v>0.43106</v>
      </c>
      <c r="H110" s="2" t="n">
        <v>0.60164</v>
      </c>
      <c r="I110" s="2" t="n">
        <v>0.4082</v>
      </c>
      <c r="J110" s="2" t="n">
        <v>0.12569</v>
      </c>
      <c r="K110" s="2" t="n">
        <v>0.21222</v>
      </c>
      <c r="L110" s="2" t="n">
        <v>2.51767</v>
      </c>
    </row>
    <row r="111" customFormat="false" ht="15" hidden="false" customHeight="false" outlineLevel="0" collapsed="false">
      <c r="A111" s="2" t="s">
        <v>131</v>
      </c>
      <c r="B111" s="2" t="s">
        <v>26</v>
      </c>
      <c r="C111" s="2" t="n">
        <v>110</v>
      </c>
      <c r="D111" s="2" t="n">
        <v>4.686</v>
      </c>
      <c r="E111" s="2" t="n">
        <v>0.04449</v>
      </c>
      <c r="F111" s="2" t="n">
        <v>1.0088</v>
      </c>
      <c r="G111" s="2" t="n">
        <v>0.54447</v>
      </c>
      <c r="H111" s="2" t="n">
        <v>0.69805</v>
      </c>
      <c r="I111" s="2" t="n">
        <v>0.30033</v>
      </c>
      <c r="J111" s="2" t="n">
        <v>0.05863</v>
      </c>
      <c r="K111" s="2" t="n">
        <v>0.38086</v>
      </c>
      <c r="L111" s="2" t="n">
        <v>1.6944</v>
      </c>
    </row>
    <row r="112" customFormat="false" ht="15" hidden="false" customHeight="false" outlineLevel="0" collapsed="false">
      <c r="A112" s="2" t="s">
        <v>132</v>
      </c>
      <c r="B112" s="2" t="s">
        <v>49</v>
      </c>
      <c r="C112" s="2" t="n">
        <v>111</v>
      </c>
      <c r="D112" s="2" t="n">
        <v>4.681</v>
      </c>
      <c r="E112" s="2" t="n">
        <v>0.04412</v>
      </c>
      <c r="F112" s="2" t="n">
        <v>0.79907</v>
      </c>
      <c r="G112" s="2" t="n">
        <v>1.20278</v>
      </c>
      <c r="H112" s="2" t="n">
        <v>0.6739</v>
      </c>
      <c r="I112" s="2" t="n">
        <v>0.25123</v>
      </c>
      <c r="J112" s="2" t="n">
        <v>0.02961</v>
      </c>
      <c r="K112" s="2" t="n">
        <v>0.15275</v>
      </c>
      <c r="L112" s="2" t="n">
        <v>1.5714</v>
      </c>
    </row>
    <row r="113" customFormat="false" ht="15" hidden="false" customHeight="false" outlineLevel="0" collapsed="false">
      <c r="A113" s="2" t="s">
        <v>133</v>
      </c>
      <c r="B113" s="2" t="s">
        <v>26</v>
      </c>
      <c r="C113" s="2" t="n">
        <v>112</v>
      </c>
      <c r="D113" s="2" t="n">
        <v>4.677</v>
      </c>
      <c r="E113" s="2" t="n">
        <v>0.05232</v>
      </c>
      <c r="F113" s="2" t="n">
        <v>0.98549</v>
      </c>
      <c r="G113" s="2" t="n">
        <v>0.81889</v>
      </c>
      <c r="H113" s="2" t="n">
        <v>0.60237</v>
      </c>
      <c r="I113" s="2" t="n">
        <v>0</v>
      </c>
      <c r="J113" s="2" t="n">
        <v>0.13788</v>
      </c>
      <c r="K113" s="2" t="n">
        <v>0.17922</v>
      </c>
      <c r="L113" s="2" t="n">
        <v>1.95335</v>
      </c>
    </row>
    <row r="114" customFormat="false" ht="15" hidden="false" customHeight="false" outlineLevel="0" collapsed="false">
      <c r="A114" s="2" t="s">
        <v>134</v>
      </c>
      <c r="B114" s="2" t="s">
        <v>91</v>
      </c>
      <c r="C114" s="2" t="n">
        <v>113</v>
      </c>
      <c r="D114" s="2" t="n">
        <v>4.642</v>
      </c>
      <c r="E114" s="2" t="n">
        <v>0.04585</v>
      </c>
      <c r="F114" s="2" t="n">
        <v>0.92049</v>
      </c>
      <c r="G114" s="2" t="n">
        <v>1.18468</v>
      </c>
      <c r="H114" s="2" t="n">
        <v>0.27688</v>
      </c>
      <c r="I114" s="2" t="n">
        <v>0.33207</v>
      </c>
      <c r="J114" s="2" t="n">
        <v>0.08884</v>
      </c>
      <c r="K114" s="2" t="n">
        <v>0.11973</v>
      </c>
      <c r="L114" s="2" t="n">
        <v>1.71956</v>
      </c>
    </row>
    <row r="115" customFormat="false" ht="15" hidden="false" customHeight="false" outlineLevel="0" collapsed="false">
      <c r="A115" s="2" t="s">
        <v>135</v>
      </c>
      <c r="B115" s="2" t="s">
        <v>91</v>
      </c>
      <c r="C115" s="2" t="n">
        <v>114</v>
      </c>
      <c r="D115" s="2" t="n">
        <v>4.633</v>
      </c>
      <c r="E115" s="2" t="n">
        <v>0.04742</v>
      </c>
      <c r="F115" s="2" t="n">
        <v>0.54558</v>
      </c>
      <c r="G115" s="2" t="n">
        <v>0.67954</v>
      </c>
      <c r="H115" s="2" t="n">
        <v>0.40132</v>
      </c>
      <c r="I115" s="2" t="n">
        <v>0.42342</v>
      </c>
      <c r="J115" s="2" t="n">
        <v>0.04355</v>
      </c>
      <c r="K115" s="2" t="n">
        <v>0.23087</v>
      </c>
      <c r="L115" s="2" t="n">
        <v>2.30919</v>
      </c>
    </row>
    <row r="116" customFormat="false" ht="15" hidden="false" customHeight="false" outlineLevel="0" collapsed="false">
      <c r="A116" s="2" t="s">
        <v>136</v>
      </c>
      <c r="B116" s="2" t="s">
        <v>91</v>
      </c>
      <c r="C116" s="2" t="n">
        <v>115</v>
      </c>
      <c r="D116" s="2" t="n">
        <v>4.61</v>
      </c>
      <c r="E116" s="2" t="n">
        <v>0.0429</v>
      </c>
      <c r="F116" s="2" t="n">
        <v>0.271</v>
      </c>
      <c r="G116" s="2" t="n">
        <v>1.03276</v>
      </c>
      <c r="H116" s="2" t="n">
        <v>0.33475</v>
      </c>
      <c r="I116" s="2" t="n">
        <v>0.25861</v>
      </c>
      <c r="J116" s="2" t="n">
        <v>0.08079</v>
      </c>
      <c r="K116" s="2" t="n">
        <v>0.18987</v>
      </c>
      <c r="L116" s="2" t="n">
        <v>2.44191</v>
      </c>
    </row>
    <row r="117" customFormat="false" ht="15" hidden="false" customHeight="false" outlineLevel="0" collapsed="false">
      <c r="A117" s="2" t="s">
        <v>137</v>
      </c>
      <c r="B117" s="2" t="s">
        <v>91</v>
      </c>
      <c r="C117" s="2" t="n">
        <v>116</v>
      </c>
      <c r="D117" s="2" t="n">
        <v>4.571</v>
      </c>
      <c r="E117" s="2" t="n">
        <v>0.11068</v>
      </c>
      <c r="F117" s="2" t="n">
        <v>0.0712</v>
      </c>
      <c r="G117" s="2" t="n">
        <v>0.78968</v>
      </c>
      <c r="H117" s="2" t="n">
        <v>0.34201</v>
      </c>
      <c r="I117" s="2" t="n">
        <v>0.28531</v>
      </c>
      <c r="J117" s="2" t="n">
        <v>0.06232</v>
      </c>
      <c r="K117" s="2" t="n">
        <v>0.24362</v>
      </c>
      <c r="L117" s="2" t="n">
        <v>2.77729</v>
      </c>
    </row>
    <row r="118" customFormat="false" ht="15" hidden="false" customHeight="false" outlineLevel="0" collapsed="false">
      <c r="A118" s="2" t="s">
        <v>138</v>
      </c>
      <c r="B118" s="2" t="s">
        <v>100</v>
      </c>
      <c r="C118" s="2" t="n">
        <v>117</v>
      </c>
      <c r="D118" s="2" t="n">
        <v>4.565</v>
      </c>
      <c r="E118" s="2" t="n">
        <v>0.02043</v>
      </c>
      <c r="F118" s="2" t="n">
        <v>0.64499</v>
      </c>
      <c r="G118" s="2" t="n">
        <v>0.38174</v>
      </c>
      <c r="H118" s="2" t="n">
        <v>0.51529</v>
      </c>
      <c r="I118" s="2" t="n">
        <v>0.39786</v>
      </c>
      <c r="J118" s="2" t="n">
        <v>0.08492</v>
      </c>
      <c r="K118" s="2" t="n">
        <v>0.26475</v>
      </c>
      <c r="L118" s="2" t="n">
        <v>2.27513</v>
      </c>
    </row>
    <row r="119" customFormat="false" ht="15" hidden="false" customHeight="false" outlineLevel="0" collapsed="false">
      <c r="A119" s="2" t="s">
        <v>139</v>
      </c>
      <c r="B119" s="2" t="s">
        <v>91</v>
      </c>
      <c r="C119" s="2" t="n">
        <v>118</v>
      </c>
      <c r="D119" s="2" t="n">
        <v>4.55</v>
      </c>
      <c r="E119" s="2" t="n">
        <v>0.0674</v>
      </c>
      <c r="F119" s="2" t="n">
        <v>0.52107</v>
      </c>
      <c r="G119" s="2" t="n">
        <v>1.01404</v>
      </c>
      <c r="H119" s="2" t="n">
        <v>0.36878</v>
      </c>
      <c r="I119" s="2" t="n">
        <v>0.10081</v>
      </c>
      <c r="J119" s="2" t="n">
        <v>0.1466</v>
      </c>
      <c r="K119" s="2" t="n">
        <v>0.19062</v>
      </c>
      <c r="L119" s="2" t="n">
        <v>2.20857</v>
      </c>
    </row>
    <row r="120" customFormat="false" ht="15" hidden="false" customHeight="false" outlineLevel="0" collapsed="false">
      <c r="A120" s="2" t="s">
        <v>140</v>
      </c>
      <c r="B120" s="2" t="s">
        <v>28</v>
      </c>
      <c r="C120" s="2" t="n">
        <v>119</v>
      </c>
      <c r="D120" s="2" t="n">
        <v>4.518</v>
      </c>
      <c r="E120" s="2" t="n">
        <v>0.07331</v>
      </c>
      <c r="F120" s="2" t="n">
        <v>0.26673</v>
      </c>
      <c r="G120" s="2" t="n">
        <v>0.74302</v>
      </c>
      <c r="H120" s="2" t="n">
        <v>0.38847</v>
      </c>
      <c r="I120" s="2" t="n">
        <v>0.24425</v>
      </c>
      <c r="J120" s="2" t="n">
        <v>0.17175</v>
      </c>
      <c r="K120" s="2" t="n">
        <v>0.46187</v>
      </c>
      <c r="L120" s="2" t="n">
        <v>2.24173</v>
      </c>
    </row>
    <row r="121" customFormat="false" ht="15" hidden="false" customHeight="false" outlineLevel="0" collapsed="false">
      <c r="A121" s="2" t="s">
        <v>141</v>
      </c>
      <c r="B121" s="2" t="s">
        <v>91</v>
      </c>
      <c r="C121" s="2" t="n">
        <v>120</v>
      </c>
      <c r="D121" s="2" t="n">
        <v>4.517</v>
      </c>
      <c r="E121" s="2" t="n">
        <v>0.0368</v>
      </c>
      <c r="F121" s="2" t="n">
        <v>0</v>
      </c>
      <c r="G121" s="2" t="n">
        <v>1.0012</v>
      </c>
      <c r="H121" s="2" t="n">
        <v>0.09806</v>
      </c>
      <c r="I121" s="2" t="n">
        <v>0.22605</v>
      </c>
      <c r="J121" s="2" t="n">
        <v>0.07625</v>
      </c>
      <c r="K121" s="2" t="n">
        <v>0.24834</v>
      </c>
      <c r="L121" s="2" t="n">
        <v>2.86712</v>
      </c>
    </row>
    <row r="122" customFormat="false" ht="15" hidden="false" customHeight="false" outlineLevel="0" collapsed="false">
      <c r="A122" s="2" t="s">
        <v>142</v>
      </c>
      <c r="B122" s="2" t="s">
        <v>100</v>
      </c>
      <c r="C122" s="2" t="n">
        <v>121</v>
      </c>
      <c r="D122" s="2" t="n">
        <v>4.514</v>
      </c>
      <c r="E122" s="2" t="n">
        <v>0.03607</v>
      </c>
      <c r="F122" s="2" t="n">
        <v>0.35997</v>
      </c>
      <c r="G122" s="2" t="n">
        <v>0.86449</v>
      </c>
      <c r="H122" s="2" t="n">
        <v>0.56874</v>
      </c>
      <c r="I122" s="2" t="n">
        <v>0.38282</v>
      </c>
      <c r="J122" s="2" t="n">
        <v>0.05907</v>
      </c>
      <c r="K122" s="2" t="n">
        <v>0.32296</v>
      </c>
      <c r="L122" s="2" t="n">
        <v>1.95637</v>
      </c>
    </row>
    <row r="123" customFormat="false" ht="15" hidden="false" customHeight="false" outlineLevel="0" collapsed="false">
      <c r="A123" s="2" t="s">
        <v>143</v>
      </c>
      <c r="B123" s="2" t="s">
        <v>91</v>
      </c>
      <c r="C123" s="2" t="n">
        <v>122</v>
      </c>
      <c r="D123" s="2" t="n">
        <v>4.512</v>
      </c>
      <c r="E123" s="2" t="n">
        <v>0.0378</v>
      </c>
      <c r="F123" s="2" t="n">
        <v>0.19073</v>
      </c>
      <c r="G123" s="2" t="n">
        <v>0.60406</v>
      </c>
      <c r="H123" s="2" t="n">
        <v>0.44055</v>
      </c>
      <c r="I123" s="2" t="n">
        <v>0.4345</v>
      </c>
      <c r="J123" s="2" t="n">
        <v>0.15048</v>
      </c>
      <c r="K123" s="2" t="n">
        <v>0.24325</v>
      </c>
      <c r="L123" s="2" t="n">
        <v>2.44876</v>
      </c>
    </row>
    <row r="124" customFormat="false" ht="15" hidden="false" customHeight="false" outlineLevel="0" collapsed="false">
      <c r="A124" s="2" t="s">
        <v>144</v>
      </c>
      <c r="B124" s="2" t="s">
        <v>91</v>
      </c>
      <c r="C124" s="2" t="n">
        <v>123</v>
      </c>
      <c r="D124" s="2" t="n">
        <v>4.507</v>
      </c>
      <c r="E124" s="2" t="n">
        <v>0.07068</v>
      </c>
      <c r="F124" s="2" t="n">
        <v>0.33024</v>
      </c>
      <c r="G124" s="2" t="n">
        <v>0.95571</v>
      </c>
      <c r="H124" s="2" t="n">
        <v>0</v>
      </c>
      <c r="I124" s="2" t="n">
        <v>0.4084</v>
      </c>
      <c r="J124" s="2" t="n">
        <v>0.08786</v>
      </c>
      <c r="K124" s="2" t="n">
        <v>0.21488</v>
      </c>
      <c r="L124" s="2" t="n">
        <v>2.51009</v>
      </c>
    </row>
    <row r="125" customFormat="false" ht="15" hidden="false" customHeight="false" outlineLevel="0" collapsed="false">
      <c r="A125" s="2" t="s">
        <v>145</v>
      </c>
      <c r="B125" s="2" t="s">
        <v>91</v>
      </c>
      <c r="C125" s="2" t="n">
        <v>124</v>
      </c>
      <c r="D125" s="2" t="n">
        <v>4.436</v>
      </c>
      <c r="E125" s="2" t="n">
        <v>0.03947</v>
      </c>
      <c r="F125" s="2" t="n">
        <v>0.45407</v>
      </c>
      <c r="G125" s="2" t="n">
        <v>0.86908</v>
      </c>
      <c r="H125" s="2" t="n">
        <v>0.35874</v>
      </c>
      <c r="I125" s="2" t="n">
        <v>0.24232</v>
      </c>
      <c r="J125" s="2" t="n">
        <v>0.17461</v>
      </c>
      <c r="K125" s="2" t="n">
        <v>0.219</v>
      </c>
      <c r="L125" s="2" t="n">
        <v>2.11773</v>
      </c>
    </row>
    <row r="126" customFormat="false" ht="15" hidden="false" customHeight="false" outlineLevel="0" collapsed="false">
      <c r="A126" s="2" t="s">
        <v>146</v>
      </c>
      <c r="B126" s="2" t="s">
        <v>91</v>
      </c>
      <c r="C126" s="2" t="n">
        <v>125</v>
      </c>
      <c r="D126" s="2" t="n">
        <v>4.419</v>
      </c>
      <c r="E126" s="2" t="n">
        <v>0.04734</v>
      </c>
      <c r="F126" s="2" t="n">
        <v>0.36471</v>
      </c>
      <c r="G126" s="2" t="n">
        <v>0.99876</v>
      </c>
      <c r="H126" s="2" t="n">
        <v>0.41435</v>
      </c>
      <c r="I126" s="2" t="n">
        <v>0.42215</v>
      </c>
      <c r="J126" s="2" t="n">
        <v>0.05839</v>
      </c>
      <c r="K126" s="2" t="n">
        <v>0.37542</v>
      </c>
      <c r="L126" s="2" t="n">
        <v>1.78555</v>
      </c>
    </row>
    <row r="127" customFormat="false" ht="15" hidden="false" customHeight="false" outlineLevel="0" collapsed="false">
      <c r="A127" s="2" t="s">
        <v>147</v>
      </c>
      <c r="B127" s="2" t="s">
        <v>91</v>
      </c>
      <c r="C127" s="2" t="n">
        <v>126</v>
      </c>
      <c r="D127" s="2" t="n">
        <v>4.369</v>
      </c>
      <c r="E127" s="2" t="n">
        <v>0.08096</v>
      </c>
      <c r="F127" s="2" t="n">
        <v>0.44025</v>
      </c>
      <c r="G127" s="2" t="n">
        <v>0.59207</v>
      </c>
      <c r="H127" s="2" t="n">
        <v>0.36291</v>
      </c>
      <c r="I127" s="2" t="n">
        <v>0.46074</v>
      </c>
      <c r="J127" s="2" t="n">
        <v>0.28105</v>
      </c>
      <c r="K127" s="2" t="n">
        <v>0.18093</v>
      </c>
      <c r="L127" s="2" t="n">
        <v>2.05125</v>
      </c>
    </row>
    <row r="128" customFormat="false" ht="15" hidden="false" customHeight="false" outlineLevel="0" collapsed="false">
      <c r="A128" s="2" t="s">
        <v>148</v>
      </c>
      <c r="B128" s="2" t="s">
        <v>49</v>
      </c>
      <c r="C128" s="2" t="n">
        <v>127</v>
      </c>
      <c r="D128" s="2" t="n">
        <v>4.35</v>
      </c>
      <c r="E128" s="2" t="n">
        <v>0.04763</v>
      </c>
      <c r="F128" s="2" t="n">
        <v>0.76821</v>
      </c>
      <c r="G128" s="2" t="n">
        <v>0.77711</v>
      </c>
      <c r="H128" s="2" t="n">
        <v>0.7299</v>
      </c>
      <c r="I128" s="2" t="n">
        <v>0.19847</v>
      </c>
      <c r="J128" s="2" t="n">
        <v>0.039</v>
      </c>
      <c r="K128" s="2" t="n">
        <v>0.07855</v>
      </c>
      <c r="L128" s="2" t="n">
        <v>1.75873</v>
      </c>
    </row>
    <row r="129" customFormat="false" ht="15" hidden="false" customHeight="false" outlineLevel="0" collapsed="false">
      <c r="A129" s="2" t="s">
        <v>149</v>
      </c>
      <c r="B129" s="2" t="s">
        <v>91</v>
      </c>
      <c r="C129" s="2" t="n">
        <v>128</v>
      </c>
      <c r="D129" s="2" t="n">
        <v>4.332</v>
      </c>
      <c r="E129" s="2" t="n">
        <v>0.04934</v>
      </c>
      <c r="F129" s="2" t="n">
        <v>0.99355</v>
      </c>
      <c r="G129" s="2" t="n">
        <v>1.10464</v>
      </c>
      <c r="H129" s="2" t="n">
        <v>0.04776</v>
      </c>
      <c r="I129" s="2" t="n">
        <v>0.49495</v>
      </c>
      <c r="J129" s="2" t="n">
        <v>0.12474</v>
      </c>
      <c r="K129" s="2" t="n">
        <v>0.10461</v>
      </c>
      <c r="L129" s="2" t="n">
        <v>1.46181</v>
      </c>
    </row>
    <row r="130" customFormat="false" ht="15" hidden="false" customHeight="false" outlineLevel="0" collapsed="false">
      <c r="A130" s="2" t="s">
        <v>150</v>
      </c>
      <c r="B130" s="2" t="s">
        <v>41</v>
      </c>
      <c r="C130" s="2" t="n">
        <v>129</v>
      </c>
      <c r="D130" s="2" t="n">
        <v>4.307</v>
      </c>
      <c r="E130" s="2" t="n">
        <v>0.04351</v>
      </c>
      <c r="F130" s="2" t="n">
        <v>0.27108</v>
      </c>
      <c r="G130" s="2" t="n">
        <v>0.70905</v>
      </c>
      <c r="H130" s="2" t="n">
        <v>0.48246</v>
      </c>
      <c r="I130" s="2" t="n">
        <v>0.44017</v>
      </c>
      <c r="J130" s="2" t="n">
        <v>0.19034</v>
      </c>
      <c r="K130" s="2" t="n">
        <v>0.79588</v>
      </c>
      <c r="L130" s="2" t="n">
        <v>1.41805</v>
      </c>
    </row>
    <row r="131" customFormat="false" ht="15" hidden="false" customHeight="false" outlineLevel="0" collapsed="false">
      <c r="A131" s="2" t="s">
        <v>151</v>
      </c>
      <c r="B131" s="2" t="s">
        <v>49</v>
      </c>
      <c r="C131" s="2" t="n">
        <v>130</v>
      </c>
      <c r="D131" s="2" t="n">
        <v>4.297</v>
      </c>
      <c r="E131" s="2" t="n">
        <v>0.04221</v>
      </c>
      <c r="F131" s="2" t="n">
        <v>0.7419</v>
      </c>
      <c r="G131" s="2" t="n">
        <v>0.38562</v>
      </c>
      <c r="H131" s="2" t="n">
        <v>0.72926</v>
      </c>
      <c r="I131" s="2" t="n">
        <v>0.40577</v>
      </c>
      <c r="J131" s="2" t="n">
        <v>0.38331</v>
      </c>
      <c r="K131" s="2" t="n">
        <v>0.05547</v>
      </c>
      <c r="L131" s="2" t="n">
        <v>1.59541</v>
      </c>
    </row>
    <row r="132" customFormat="false" ht="15" hidden="false" customHeight="false" outlineLevel="0" collapsed="false">
      <c r="A132" s="2" t="s">
        <v>152</v>
      </c>
      <c r="B132" s="2" t="s">
        <v>91</v>
      </c>
      <c r="C132" s="2" t="n">
        <v>131</v>
      </c>
      <c r="D132" s="2" t="n">
        <v>4.292</v>
      </c>
      <c r="E132" s="2" t="n">
        <v>0.0613</v>
      </c>
      <c r="F132" s="2" t="n">
        <v>0.01604</v>
      </c>
      <c r="G132" s="2" t="n">
        <v>0.41134</v>
      </c>
      <c r="H132" s="2" t="n">
        <v>0.22562</v>
      </c>
      <c r="I132" s="2" t="n">
        <v>0.43054</v>
      </c>
      <c r="J132" s="2" t="n">
        <v>0.06977</v>
      </c>
      <c r="K132" s="2" t="n">
        <v>0.33128</v>
      </c>
      <c r="L132" s="2" t="n">
        <v>2.80791</v>
      </c>
    </row>
    <row r="133" customFormat="false" ht="15" hidden="false" customHeight="false" outlineLevel="0" collapsed="false">
      <c r="A133" s="2" t="s">
        <v>153</v>
      </c>
      <c r="B133" s="2" t="s">
        <v>100</v>
      </c>
      <c r="C133" s="2" t="n">
        <v>132</v>
      </c>
      <c r="D133" s="2" t="n">
        <v>4.271</v>
      </c>
      <c r="E133" s="2" t="n">
        <v>0.03751</v>
      </c>
      <c r="F133" s="2" t="n">
        <v>0.83524</v>
      </c>
      <c r="G133" s="2" t="n">
        <v>1.01905</v>
      </c>
      <c r="H133" s="2" t="n">
        <v>0.70806</v>
      </c>
      <c r="I133" s="2" t="n">
        <v>0.53726</v>
      </c>
      <c r="J133" s="2" t="n">
        <v>0.09179</v>
      </c>
      <c r="K133" s="2" t="n">
        <v>0.40828</v>
      </c>
      <c r="L133" s="2" t="n">
        <v>0.67108</v>
      </c>
    </row>
    <row r="134" customFormat="false" ht="15" hidden="false" customHeight="false" outlineLevel="0" collapsed="false">
      <c r="A134" s="2" t="s">
        <v>154</v>
      </c>
      <c r="B134" s="2" t="s">
        <v>91</v>
      </c>
      <c r="C134" s="2" t="n">
        <v>133</v>
      </c>
      <c r="D134" s="2" t="n">
        <v>4.252</v>
      </c>
      <c r="E134" s="2" t="n">
        <v>0.04678</v>
      </c>
      <c r="F134" s="2" t="n">
        <v>0.4225</v>
      </c>
      <c r="G134" s="2" t="n">
        <v>0.88767</v>
      </c>
      <c r="H134" s="2" t="n">
        <v>0.23402</v>
      </c>
      <c r="I134" s="2" t="n">
        <v>0.49309</v>
      </c>
      <c r="J134" s="2" t="n">
        <v>0.05786</v>
      </c>
      <c r="K134" s="2" t="n">
        <v>0.20618</v>
      </c>
      <c r="L134" s="2" t="n">
        <v>1.95071</v>
      </c>
    </row>
    <row r="135" customFormat="false" ht="15" hidden="false" customHeight="false" outlineLevel="0" collapsed="false">
      <c r="A135" s="2" t="s">
        <v>155</v>
      </c>
      <c r="B135" s="2" t="s">
        <v>49</v>
      </c>
      <c r="C135" s="2" t="n">
        <v>134</v>
      </c>
      <c r="D135" s="2" t="n">
        <v>4.218</v>
      </c>
      <c r="E135" s="2" t="n">
        <v>0.04828</v>
      </c>
      <c r="F135" s="2" t="n">
        <v>1.01216</v>
      </c>
      <c r="G135" s="2" t="n">
        <v>1.10614</v>
      </c>
      <c r="H135" s="2" t="n">
        <v>0.76649</v>
      </c>
      <c r="I135" s="2" t="n">
        <v>0.30587</v>
      </c>
      <c r="J135" s="2" t="n">
        <v>0.00872</v>
      </c>
      <c r="K135" s="2" t="n">
        <v>0.11921</v>
      </c>
      <c r="L135" s="2" t="n">
        <v>0.89991</v>
      </c>
    </row>
    <row r="136" customFormat="false" ht="15" hidden="false" customHeight="false" outlineLevel="0" collapsed="false">
      <c r="A136" s="2" t="s">
        <v>156</v>
      </c>
      <c r="B136" s="2" t="s">
        <v>26</v>
      </c>
      <c r="C136" s="2" t="n">
        <v>135</v>
      </c>
      <c r="D136" s="2" t="n">
        <v>4.194</v>
      </c>
      <c r="E136" s="2" t="n">
        <v>0.0326</v>
      </c>
      <c r="F136" s="2" t="n">
        <v>0.8818</v>
      </c>
      <c r="G136" s="2" t="n">
        <v>0.747</v>
      </c>
      <c r="H136" s="2" t="n">
        <v>0.61712</v>
      </c>
      <c r="I136" s="2" t="n">
        <v>0.17288</v>
      </c>
      <c r="J136" s="2" t="n">
        <v>0.06324</v>
      </c>
      <c r="K136" s="2" t="n">
        <v>0.11291</v>
      </c>
      <c r="L136" s="2" t="n">
        <v>1.59927</v>
      </c>
    </row>
    <row r="137" customFormat="false" ht="15" hidden="false" customHeight="false" outlineLevel="0" collapsed="false">
      <c r="A137" s="2" t="s">
        <v>157</v>
      </c>
      <c r="B137" s="2" t="s">
        <v>26</v>
      </c>
      <c r="C137" s="2" t="n">
        <v>136</v>
      </c>
      <c r="D137" s="2" t="n">
        <v>4.077</v>
      </c>
      <c r="E137" s="2" t="n">
        <v>0.04367</v>
      </c>
      <c r="F137" s="2" t="n">
        <v>0.54649</v>
      </c>
      <c r="G137" s="2" t="n">
        <v>0.68093</v>
      </c>
      <c r="H137" s="2" t="n">
        <v>0.40064</v>
      </c>
      <c r="I137" s="2" t="n">
        <v>0.35571</v>
      </c>
      <c r="J137" s="2" t="n">
        <v>0.07854</v>
      </c>
      <c r="K137" s="2" t="n">
        <v>0.09131</v>
      </c>
      <c r="L137" s="2" t="n">
        <v>1.92313</v>
      </c>
    </row>
    <row r="138" customFormat="false" ht="15" hidden="false" customHeight="false" outlineLevel="0" collapsed="false">
      <c r="A138" s="2" t="s">
        <v>158</v>
      </c>
      <c r="B138" s="2" t="s">
        <v>91</v>
      </c>
      <c r="C138" s="2" t="n">
        <v>137</v>
      </c>
      <c r="D138" s="2" t="n">
        <v>4.033</v>
      </c>
      <c r="E138" s="2" t="n">
        <v>0.04758</v>
      </c>
      <c r="F138" s="2" t="n">
        <v>0.75778</v>
      </c>
      <c r="G138" s="2" t="n">
        <v>0.8604</v>
      </c>
      <c r="H138" s="2" t="n">
        <v>0.16683</v>
      </c>
      <c r="I138" s="2" t="n">
        <v>0.10384</v>
      </c>
      <c r="J138" s="2" t="n">
        <v>0.07122</v>
      </c>
      <c r="K138" s="2" t="n">
        <v>0.12344</v>
      </c>
      <c r="L138" s="2" t="n">
        <v>1.94939</v>
      </c>
    </row>
    <row r="139" customFormat="false" ht="15" hidden="false" customHeight="false" outlineLevel="0" collapsed="false">
      <c r="A139" s="2" t="s">
        <v>159</v>
      </c>
      <c r="B139" s="2" t="s">
        <v>91</v>
      </c>
      <c r="C139" s="2" t="n">
        <v>138</v>
      </c>
      <c r="D139" s="2" t="n">
        <v>3.995</v>
      </c>
      <c r="E139" s="2" t="n">
        <v>0.05602</v>
      </c>
      <c r="F139" s="2" t="n">
        <v>0.26074</v>
      </c>
      <c r="G139" s="2" t="n">
        <v>1.03526</v>
      </c>
      <c r="H139" s="2" t="n">
        <v>0.20583</v>
      </c>
      <c r="I139" s="2" t="n">
        <v>0.38857</v>
      </c>
      <c r="J139" s="2" t="n">
        <v>0.12352</v>
      </c>
      <c r="K139" s="2" t="n">
        <v>0.18798</v>
      </c>
      <c r="L139" s="2" t="n">
        <v>1.79293</v>
      </c>
    </row>
    <row r="140" customFormat="false" ht="15" hidden="false" customHeight="false" outlineLevel="0" collapsed="false">
      <c r="A140" s="2" t="s">
        <v>160</v>
      </c>
      <c r="B140" s="2" t="s">
        <v>91</v>
      </c>
      <c r="C140" s="2" t="n">
        <v>139</v>
      </c>
      <c r="D140" s="2" t="n">
        <v>3.989</v>
      </c>
      <c r="E140" s="2" t="n">
        <v>0.06682</v>
      </c>
      <c r="F140" s="2" t="n">
        <v>0.67866</v>
      </c>
      <c r="G140" s="2" t="n">
        <v>0.6629</v>
      </c>
      <c r="H140" s="2" t="n">
        <v>0.31051</v>
      </c>
      <c r="I140" s="2" t="n">
        <v>0.41466</v>
      </c>
      <c r="J140" s="2" t="n">
        <v>0.11686</v>
      </c>
      <c r="K140" s="2" t="n">
        <v>0.12388</v>
      </c>
      <c r="L140" s="2" t="n">
        <v>1.68135</v>
      </c>
    </row>
    <row r="141" customFormat="false" ht="15" hidden="false" customHeight="false" outlineLevel="0" collapsed="false">
      <c r="A141" s="2" t="s">
        <v>161</v>
      </c>
      <c r="B141" s="2" t="s">
        <v>91</v>
      </c>
      <c r="C141" s="2" t="n">
        <v>140</v>
      </c>
      <c r="D141" s="2" t="n">
        <v>3.956</v>
      </c>
      <c r="E141" s="2" t="n">
        <v>0.04797</v>
      </c>
      <c r="F141" s="2" t="n">
        <v>0.23906</v>
      </c>
      <c r="G141" s="2" t="n">
        <v>0.79273</v>
      </c>
      <c r="H141" s="2" t="n">
        <v>0.36315</v>
      </c>
      <c r="I141" s="2" t="n">
        <v>0.22917</v>
      </c>
      <c r="J141" s="2" t="n">
        <v>0.199</v>
      </c>
      <c r="K141" s="2" t="n">
        <v>0.17441</v>
      </c>
      <c r="L141" s="2" t="n">
        <v>1.95812</v>
      </c>
    </row>
    <row r="142" customFormat="false" ht="15" hidden="false" customHeight="false" outlineLevel="0" collapsed="false">
      <c r="A142" s="2" t="s">
        <v>162</v>
      </c>
      <c r="B142" s="2" t="s">
        <v>91</v>
      </c>
      <c r="C142" s="2" t="n">
        <v>141</v>
      </c>
      <c r="D142" s="2" t="n">
        <v>3.931</v>
      </c>
      <c r="E142" s="2" t="n">
        <v>0.04317</v>
      </c>
      <c r="F142" s="2" t="n">
        <v>0.21102</v>
      </c>
      <c r="G142" s="2" t="n">
        <v>1.13299</v>
      </c>
      <c r="H142" s="2" t="n">
        <v>0.33861</v>
      </c>
      <c r="I142" s="2" t="n">
        <v>0.45727</v>
      </c>
      <c r="J142" s="2" t="n">
        <v>0.07267</v>
      </c>
      <c r="K142" s="2" t="n">
        <v>0.29066</v>
      </c>
      <c r="L142" s="2" t="n">
        <v>1.42766</v>
      </c>
    </row>
    <row r="143" customFormat="false" ht="15" hidden="false" customHeight="false" outlineLevel="0" collapsed="false">
      <c r="A143" s="2" t="s">
        <v>163</v>
      </c>
      <c r="B143" s="2" t="s">
        <v>91</v>
      </c>
      <c r="C143" s="2" t="n">
        <v>142</v>
      </c>
      <c r="D143" s="2" t="n">
        <v>3.904</v>
      </c>
      <c r="E143" s="2" t="n">
        <v>0.03608</v>
      </c>
      <c r="F143" s="2" t="n">
        <v>0.36498</v>
      </c>
      <c r="G143" s="2" t="n">
        <v>0.97619</v>
      </c>
      <c r="H143" s="2" t="n">
        <v>0.4354</v>
      </c>
      <c r="I143" s="2" t="n">
        <v>0.36772</v>
      </c>
      <c r="J143" s="2" t="n">
        <v>0.10713</v>
      </c>
      <c r="K143" s="2" t="n">
        <v>0.20843</v>
      </c>
      <c r="L143" s="2" t="n">
        <v>1.44395</v>
      </c>
    </row>
    <row r="144" customFormat="false" ht="15" hidden="false" customHeight="false" outlineLevel="0" collapsed="false">
      <c r="A144" s="2" t="s">
        <v>164</v>
      </c>
      <c r="B144" s="2" t="s">
        <v>91</v>
      </c>
      <c r="C144" s="2" t="n">
        <v>143</v>
      </c>
      <c r="D144" s="2" t="n">
        <v>3.896</v>
      </c>
      <c r="E144" s="2" t="n">
        <v>0.04547</v>
      </c>
      <c r="F144" s="2" t="n">
        <v>1.06024</v>
      </c>
      <c r="G144" s="2" t="n">
        <v>0.90528</v>
      </c>
      <c r="H144" s="2" t="n">
        <v>0.43372</v>
      </c>
      <c r="I144" s="2" t="n">
        <v>0.31914</v>
      </c>
      <c r="J144" s="2" t="n">
        <v>0.11091</v>
      </c>
      <c r="K144" s="2" t="n">
        <v>0.06822</v>
      </c>
      <c r="L144" s="2" t="n">
        <v>0.99895</v>
      </c>
    </row>
    <row r="145" customFormat="false" ht="15" hidden="false" customHeight="false" outlineLevel="0" collapsed="false">
      <c r="A145" s="2" t="s">
        <v>165</v>
      </c>
      <c r="B145" s="2" t="s">
        <v>91</v>
      </c>
      <c r="C145" s="2" t="n">
        <v>144</v>
      </c>
      <c r="D145" s="2" t="n">
        <v>3.845</v>
      </c>
      <c r="E145" s="2" t="n">
        <v>0.03602</v>
      </c>
      <c r="F145" s="2" t="n">
        <v>0.0694</v>
      </c>
      <c r="G145" s="2" t="n">
        <v>0.77265</v>
      </c>
      <c r="H145" s="2" t="n">
        <v>0.29707</v>
      </c>
      <c r="I145" s="2" t="n">
        <v>0.47692</v>
      </c>
      <c r="J145" s="2" t="n">
        <v>0.15639</v>
      </c>
      <c r="K145" s="2" t="n">
        <v>0.19387</v>
      </c>
      <c r="L145" s="2" t="n">
        <v>1.87877</v>
      </c>
    </row>
    <row r="146" customFormat="false" ht="15" hidden="false" customHeight="false" outlineLevel="0" collapsed="false">
      <c r="A146" s="2" t="s">
        <v>166</v>
      </c>
      <c r="B146" s="2" t="s">
        <v>41</v>
      </c>
      <c r="C146" s="2" t="n">
        <v>145</v>
      </c>
      <c r="D146" s="2" t="n">
        <v>3.819</v>
      </c>
      <c r="E146" s="2" t="n">
        <v>0.05069</v>
      </c>
      <c r="F146" s="2" t="n">
        <v>0.46038</v>
      </c>
      <c r="G146" s="2" t="n">
        <v>0.62736</v>
      </c>
      <c r="H146" s="2" t="n">
        <v>0.61114</v>
      </c>
      <c r="I146" s="2" t="n">
        <v>0.66246</v>
      </c>
      <c r="J146" s="2" t="n">
        <v>0.07247</v>
      </c>
      <c r="K146" s="2" t="n">
        <v>0.40359</v>
      </c>
      <c r="L146" s="2" t="n">
        <v>0.98195</v>
      </c>
    </row>
    <row r="147" customFormat="false" ht="15" hidden="false" customHeight="false" outlineLevel="0" collapsed="false">
      <c r="A147" s="2" t="s">
        <v>167</v>
      </c>
      <c r="B147" s="2" t="s">
        <v>91</v>
      </c>
      <c r="C147" s="2" t="n">
        <v>146</v>
      </c>
      <c r="D147" s="2" t="n">
        <v>3.781</v>
      </c>
      <c r="E147" s="2" t="n">
        <v>0.05061</v>
      </c>
      <c r="F147" s="2" t="n">
        <v>0.2852</v>
      </c>
      <c r="G147" s="2" t="n">
        <v>1.00268</v>
      </c>
      <c r="H147" s="2" t="n">
        <v>0.38215</v>
      </c>
      <c r="I147" s="2" t="n">
        <v>0.32878</v>
      </c>
      <c r="J147" s="2" t="n">
        <v>0.05747</v>
      </c>
      <c r="K147" s="2" t="n">
        <v>0.34377</v>
      </c>
      <c r="L147" s="2" t="n">
        <v>1.38079</v>
      </c>
    </row>
    <row r="148" customFormat="false" ht="15" hidden="false" customHeight="false" outlineLevel="0" collapsed="false">
      <c r="A148" s="2" t="s">
        <v>168</v>
      </c>
      <c r="B148" s="2" t="s">
        <v>91</v>
      </c>
      <c r="C148" s="2" t="n">
        <v>147</v>
      </c>
      <c r="D148" s="2" t="n">
        <v>3.681</v>
      </c>
      <c r="E148" s="2" t="n">
        <v>0.03633</v>
      </c>
      <c r="F148" s="2" t="n">
        <v>0.20824</v>
      </c>
      <c r="G148" s="2" t="n">
        <v>0.66801</v>
      </c>
      <c r="H148" s="2" t="n">
        <v>0.46721</v>
      </c>
      <c r="I148" s="2" t="n">
        <v>0.19184</v>
      </c>
      <c r="J148" s="2" t="n">
        <v>0.08124</v>
      </c>
      <c r="K148" s="2" t="n">
        <v>0.21333</v>
      </c>
      <c r="L148" s="2" t="n">
        <v>1.851</v>
      </c>
    </row>
    <row r="149" customFormat="false" ht="15" hidden="false" customHeight="false" outlineLevel="0" collapsed="false">
      <c r="A149" s="2" t="s">
        <v>169</v>
      </c>
      <c r="B149" s="2" t="s">
        <v>91</v>
      </c>
      <c r="C149" s="2" t="n">
        <v>148</v>
      </c>
      <c r="D149" s="2" t="n">
        <v>3.678</v>
      </c>
      <c r="E149" s="2" t="n">
        <v>0.06112</v>
      </c>
      <c r="F149" s="2" t="n">
        <v>0.0785</v>
      </c>
      <c r="G149" s="2" t="n">
        <v>0</v>
      </c>
      <c r="H149" s="2" t="n">
        <v>0.06699</v>
      </c>
      <c r="I149" s="2" t="n">
        <v>0.48879</v>
      </c>
      <c r="J149" s="2" t="n">
        <v>0.08289</v>
      </c>
      <c r="K149" s="2" t="n">
        <v>0.23835</v>
      </c>
      <c r="L149" s="2" t="n">
        <v>2.7223</v>
      </c>
    </row>
    <row r="150" customFormat="false" ht="15" hidden="false" customHeight="false" outlineLevel="0" collapsed="false">
      <c r="A150" s="2" t="s">
        <v>170</v>
      </c>
      <c r="B150" s="2" t="s">
        <v>91</v>
      </c>
      <c r="C150" s="2" t="n">
        <v>149</v>
      </c>
      <c r="D150" s="2" t="n">
        <v>3.667</v>
      </c>
      <c r="E150" s="2" t="n">
        <v>0.0383</v>
      </c>
      <c r="F150" s="2" t="n">
        <v>0.34193</v>
      </c>
      <c r="G150" s="2" t="n">
        <v>0.76062</v>
      </c>
      <c r="H150" s="2" t="n">
        <v>0.1501</v>
      </c>
      <c r="I150" s="2" t="n">
        <v>0.23501</v>
      </c>
      <c r="J150" s="2" t="n">
        <v>0.05269</v>
      </c>
      <c r="K150" s="2" t="n">
        <v>0.18386</v>
      </c>
      <c r="L150" s="2" t="n">
        <v>1.94296</v>
      </c>
    </row>
    <row r="151" customFormat="false" ht="15" hidden="false" customHeight="false" outlineLevel="0" collapsed="false">
      <c r="A151" s="2" t="s">
        <v>171</v>
      </c>
      <c r="B151" s="2" t="s">
        <v>91</v>
      </c>
      <c r="C151" s="2" t="n">
        <v>150</v>
      </c>
      <c r="D151" s="2" t="n">
        <v>3.656</v>
      </c>
      <c r="E151" s="2" t="n">
        <v>0.0359</v>
      </c>
      <c r="F151" s="2" t="n">
        <v>0.17417</v>
      </c>
      <c r="G151" s="2" t="n">
        <v>0.46475</v>
      </c>
      <c r="H151" s="2" t="n">
        <v>0.24009</v>
      </c>
      <c r="I151" s="2" t="n">
        <v>0.37725</v>
      </c>
      <c r="J151" s="2" t="n">
        <v>0.12139</v>
      </c>
      <c r="K151" s="2" t="n">
        <v>0.28657</v>
      </c>
      <c r="L151" s="2" t="n">
        <v>1.99172</v>
      </c>
    </row>
    <row r="152" customFormat="false" ht="15" hidden="false" customHeight="false" outlineLevel="0" collapsed="false">
      <c r="A152" s="2" t="s">
        <v>172</v>
      </c>
      <c r="B152" s="2" t="s">
        <v>91</v>
      </c>
      <c r="C152" s="2" t="n">
        <v>151</v>
      </c>
      <c r="D152" s="2" t="n">
        <v>3.655</v>
      </c>
      <c r="E152" s="2" t="n">
        <v>0.05141</v>
      </c>
      <c r="F152" s="2" t="n">
        <v>0.46534</v>
      </c>
      <c r="G152" s="2" t="n">
        <v>0.77115</v>
      </c>
      <c r="H152" s="2" t="n">
        <v>0.15185</v>
      </c>
      <c r="I152" s="2" t="n">
        <v>0.46866</v>
      </c>
      <c r="J152" s="2" t="n">
        <v>0.17922</v>
      </c>
      <c r="K152" s="2" t="n">
        <v>0.20165</v>
      </c>
      <c r="L152" s="2" t="n">
        <v>1.41723</v>
      </c>
    </row>
    <row r="153" customFormat="false" ht="15" hidden="false" customHeight="false" outlineLevel="0" collapsed="false">
      <c r="A153" s="2" t="s">
        <v>173</v>
      </c>
      <c r="B153" s="2" t="s">
        <v>91</v>
      </c>
      <c r="C153" s="2" t="n">
        <v>152</v>
      </c>
      <c r="D153" s="2" t="n">
        <v>3.587</v>
      </c>
      <c r="E153" s="2" t="n">
        <v>0.04324</v>
      </c>
      <c r="F153" s="2" t="n">
        <v>0.25812</v>
      </c>
      <c r="G153" s="2" t="n">
        <v>0.85188</v>
      </c>
      <c r="H153" s="2" t="n">
        <v>0.27125</v>
      </c>
      <c r="I153" s="2" t="n">
        <v>0.39493</v>
      </c>
      <c r="J153" s="2" t="n">
        <v>0.12832</v>
      </c>
      <c r="K153" s="2" t="n">
        <v>0.21747</v>
      </c>
      <c r="L153" s="2" t="n">
        <v>1.46494</v>
      </c>
    </row>
    <row r="154" customFormat="false" ht="15" hidden="false" customHeight="false" outlineLevel="0" collapsed="false">
      <c r="A154" s="2" t="s">
        <v>174</v>
      </c>
      <c r="B154" s="2" t="s">
        <v>100</v>
      </c>
      <c r="C154" s="2" t="n">
        <v>153</v>
      </c>
      <c r="D154" s="2" t="n">
        <v>3.575</v>
      </c>
      <c r="E154" s="2" t="n">
        <v>0.03084</v>
      </c>
      <c r="F154" s="2" t="n">
        <v>0.31982</v>
      </c>
      <c r="G154" s="2" t="n">
        <v>0.30285</v>
      </c>
      <c r="H154" s="2" t="n">
        <v>0.30335</v>
      </c>
      <c r="I154" s="2" t="n">
        <v>0.23414</v>
      </c>
      <c r="J154" s="2" t="n">
        <v>0.09719</v>
      </c>
      <c r="K154" s="2" t="n">
        <v>0.3651</v>
      </c>
      <c r="L154" s="2" t="n">
        <v>1.9521</v>
      </c>
    </row>
    <row r="155" customFormat="false" ht="15" hidden="false" customHeight="false" outlineLevel="0" collapsed="false">
      <c r="A155" s="2" t="s">
        <v>175</v>
      </c>
      <c r="B155" s="2" t="s">
        <v>91</v>
      </c>
      <c r="C155" s="2" t="n">
        <v>154</v>
      </c>
      <c r="D155" s="2" t="n">
        <v>3.465</v>
      </c>
      <c r="E155" s="2" t="n">
        <v>0.03464</v>
      </c>
      <c r="F155" s="2" t="n">
        <v>0.22208</v>
      </c>
      <c r="G155" s="2" t="n">
        <v>0.7737</v>
      </c>
      <c r="H155" s="2" t="n">
        <v>0.42864</v>
      </c>
      <c r="I155" s="2" t="n">
        <v>0.59201</v>
      </c>
      <c r="J155" s="2" t="n">
        <v>0.55191</v>
      </c>
      <c r="K155" s="2" t="n">
        <v>0.22628</v>
      </c>
      <c r="L155" s="2" t="n">
        <v>0.67042</v>
      </c>
    </row>
    <row r="156" customFormat="false" ht="15" hidden="false" customHeight="false" outlineLevel="0" collapsed="false">
      <c r="A156" s="2" t="s">
        <v>176</v>
      </c>
      <c r="B156" s="2" t="s">
        <v>91</v>
      </c>
      <c r="C156" s="2" t="n">
        <v>155</v>
      </c>
      <c r="D156" s="2" t="n">
        <v>3.34</v>
      </c>
      <c r="E156" s="2" t="n">
        <v>0.03656</v>
      </c>
      <c r="F156" s="2" t="n">
        <v>0.28665</v>
      </c>
      <c r="G156" s="2" t="n">
        <v>0.35386</v>
      </c>
      <c r="H156" s="2" t="n">
        <v>0.3191</v>
      </c>
      <c r="I156" s="2" t="n">
        <v>0.4845</v>
      </c>
      <c r="J156" s="2" t="n">
        <v>0.0801</v>
      </c>
      <c r="K156" s="2" t="n">
        <v>0.1826</v>
      </c>
      <c r="L156" s="2" t="n">
        <v>1.63328</v>
      </c>
    </row>
    <row r="157" customFormat="false" ht="15" hidden="false" customHeight="false" outlineLevel="0" collapsed="false">
      <c r="A157" s="2" t="s">
        <v>177</v>
      </c>
      <c r="B157" s="2" t="s">
        <v>26</v>
      </c>
      <c r="C157" s="2" t="n">
        <v>156</v>
      </c>
      <c r="D157" s="2" t="n">
        <v>3.006</v>
      </c>
      <c r="E157" s="2" t="n">
        <v>0.05015</v>
      </c>
      <c r="F157" s="2" t="n">
        <v>0.6632</v>
      </c>
      <c r="G157" s="2" t="n">
        <v>0.47489</v>
      </c>
      <c r="H157" s="2" t="n">
        <v>0.72193</v>
      </c>
      <c r="I157" s="2" t="n">
        <v>0.15684</v>
      </c>
      <c r="J157" s="2" t="n">
        <v>0.18906</v>
      </c>
      <c r="K157" s="2" t="n">
        <v>0.47179</v>
      </c>
      <c r="L157" s="2" t="n">
        <v>0.32858</v>
      </c>
    </row>
    <row r="158" customFormat="false" ht="15" hidden="false" customHeight="false" outlineLevel="0" collapsed="false">
      <c r="A158" s="2" t="s">
        <v>178</v>
      </c>
      <c r="B158" s="2" t="s">
        <v>91</v>
      </c>
      <c r="C158" s="2" t="n">
        <v>157</v>
      </c>
      <c r="D158" s="2" t="n">
        <v>2.905</v>
      </c>
      <c r="E158" s="2" t="n">
        <v>0.08658</v>
      </c>
      <c r="F158" s="2" t="n">
        <v>0.0153</v>
      </c>
      <c r="G158" s="2" t="n">
        <v>0.41587</v>
      </c>
      <c r="H158" s="2" t="n">
        <v>0.22396</v>
      </c>
      <c r="I158" s="2" t="n">
        <v>0.1185</v>
      </c>
      <c r="J158" s="2" t="n">
        <v>0.10062</v>
      </c>
      <c r="K158" s="2" t="n">
        <v>0.19727</v>
      </c>
      <c r="L158" s="2" t="n">
        <v>1.83302</v>
      </c>
    </row>
    <row r="159" customFormat="false" ht="15" hidden="false" customHeight="false" outlineLevel="0" collapsed="false">
      <c r="A159" s="2" t="s">
        <v>179</v>
      </c>
      <c r="B159" s="2" t="s">
        <v>91</v>
      </c>
      <c r="C159" s="2" t="n">
        <v>158</v>
      </c>
      <c r="D159" s="2" t="n">
        <v>2.839</v>
      </c>
      <c r="E159" s="2" t="n">
        <v>0.06727</v>
      </c>
      <c r="F159" s="2" t="n">
        <v>0.20868</v>
      </c>
      <c r="G159" s="2" t="n">
        <v>0.13995</v>
      </c>
      <c r="H159" s="2" t="n">
        <v>0.28443</v>
      </c>
      <c r="I159" s="2" t="n">
        <v>0.36453</v>
      </c>
      <c r="J159" s="2" t="n">
        <v>0.10731</v>
      </c>
      <c r="K159" s="2" t="n">
        <v>0.16681</v>
      </c>
      <c r="L159" s="2" t="n">
        <v>1.56726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180</v>
      </c>
      <c r="B1" s="1" t="s">
        <v>181</v>
      </c>
      <c r="C1" s="1" t="s">
        <v>182</v>
      </c>
      <c r="D1" s="1" t="s">
        <v>183</v>
      </c>
    </row>
    <row r="2" customFormat="false" ht="15" hidden="false" customHeight="false" outlineLevel="0" collapsed="false">
      <c r="A2" s="2" t="n">
        <f aca="false">RANK(D2,$D$2:$D$159,0)</f>
        <v>1</v>
      </c>
      <c r="B2" s="2" t="s">
        <v>12</v>
      </c>
      <c r="C2" s="2" t="s">
        <v>13</v>
      </c>
      <c r="D2" s="3" t="n">
        <v>7.587</v>
      </c>
    </row>
    <row r="3" customFormat="false" ht="15" hidden="false" customHeight="false" outlineLevel="0" collapsed="false">
      <c r="A3" s="2" t="n">
        <f aca="false">RANK(D3,$D$2:$D$159,0)</f>
        <v>2</v>
      </c>
      <c r="B3" s="2" t="s">
        <v>14</v>
      </c>
      <c r="C3" s="2" t="s">
        <v>13</v>
      </c>
      <c r="D3" s="3" t="n">
        <v>7.561</v>
      </c>
    </row>
    <row r="4" customFormat="false" ht="15" hidden="false" customHeight="false" outlineLevel="0" collapsed="false">
      <c r="A4" s="2" t="n">
        <f aca="false">RANK(D4,$D$2:$D$159,0)</f>
        <v>3</v>
      </c>
      <c r="B4" s="2" t="s">
        <v>15</v>
      </c>
      <c r="C4" s="2" t="s">
        <v>13</v>
      </c>
      <c r="D4" s="3" t="n">
        <v>7.527</v>
      </c>
    </row>
    <row r="5" customFormat="false" ht="15" hidden="false" customHeight="false" outlineLevel="0" collapsed="false">
      <c r="A5" s="2" t="n">
        <f aca="false">RANK(D5,$D$2:$D$159,0)</f>
        <v>4</v>
      </c>
      <c r="B5" s="2" t="s">
        <v>16</v>
      </c>
      <c r="C5" s="2" t="s">
        <v>13</v>
      </c>
      <c r="D5" s="3" t="n">
        <v>7.522</v>
      </c>
    </row>
    <row r="6" customFormat="false" ht="15" hidden="false" customHeight="false" outlineLevel="0" collapsed="false">
      <c r="A6" s="2" t="n">
        <f aca="false">RANK(D6,$D$2:$D$159,0)</f>
        <v>5</v>
      </c>
      <c r="B6" s="2" t="s">
        <v>17</v>
      </c>
      <c r="C6" s="2" t="s">
        <v>18</v>
      </c>
      <c r="D6" s="3" t="n">
        <v>7.427</v>
      </c>
    </row>
    <row r="7" customFormat="false" ht="15" hidden="false" customHeight="false" outlineLevel="0" collapsed="false">
      <c r="A7" s="2" t="n">
        <f aca="false">RANK(D7,$D$2:$D$159,0)</f>
        <v>6</v>
      </c>
      <c r="B7" s="2" t="s">
        <v>19</v>
      </c>
      <c r="C7" s="2" t="s">
        <v>13</v>
      </c>
      <c r="D7" s="3" t="n">
        <v>7.406</v>
      </c>
    </row>
    <row r="8" customFormat="false" ht="15" hidden="false" customHeight="false" outlineLevel="0" collapsed="false">
      <c r="A8" s="2" t="n">
        <f aca="false">RANK(D8,$D$2:$D$159,0)</f>
        <v>7</v>
      </c>
      <c r="B8" s="2" t="s">
        <v>20</v>
      </c>
      <c r="C8" s="2" t="s">
        <v>13</v>
      </c>
      <c r="D8" s="3" t="n">
        <v>7.378</v>
      </c>
    </row>
    <row r="9" customFormat="false" ht="15" hidden="false" customHeight="false" outlineLevel="0" collapsed="false">
      <c r="A9" s="2" t="n">
        <f aca="false">RANK(D9,$D$2:$D$159,0)</f>
        <v>8</v>
      </c>
      <c r="B9" s="2" t="s">
        <v>21</v>
      </c>
      <c r="C9" s="2" t="s">
        <v>13</v>
      </c>
      <c r="D9" s="3" t="n">
        <v>7.364</v>
      </c>
    </row>
    <row r="10" customFormat="false" ht="15" hidden="false" customHeight="false" outlineLevel="0" collapsed="false">
      <c r="A10" s="2" t="n">
        <f aca="false">RANK(D10,$D$2:$D$159,0)</f>
        <v>9</v>
      </c>
      <c r="B10" s="2" t="s">
        <v>22</v>
      </c>
      <c r="C10" s="2" t="s">
        <v>23</v>
      </c>
      <c r="D10" s="3" t="n">
        <v>7.286</v>
      </c>
    </row>
    <row r="11" customFormat="false" ht="15" hidden="false" customHeight="false" outlineLevel="0" collapsed="false">
      <c r="A11" s="2" t="n">
        <f aca="false">RANK(D11,$D$2:$D$159,0)</f>
        <v>10</v>
      </c>
      <c r="B11" s="2" t="s">
        <v>24</v>
      </c>
      <c r="C11" s="2" t="s">
        <v>23</v>
      </c>
      <c r="D11" s="3" t="n">
        <v>7.284</v>
      </c>
    </row>
    <row r="12" customFormat="false" ht="15" hidden="false" customHeight="false" outlineLevel="0" collapsed="false">
      <c r="A12" s="2" t="n">
        <f aca="false">RANK(D12,$D$2:$D$159,0)</f>
        <v>11</v>
      </c>
      <c r="B12" s="2" t="s">
        <v>25</v>
      </c>
      <c r="C12" s="2" t="s">
        <v>26</v>
      </c>
      <c r="D12" s="3" t="n">
        <v>7.278</v>
      </c>
    </row>
    <row r="13" customFormat="false" ht="15" hidden="false" customHeight="false" outlineLevel="0" collapsed="false">
      <c r="A13" s="2" t="n">
        <f aca="false">RANK(D13,$D$2:$D$159,0)</f>
        <v>12</v>
      </c>
      <c r="B13" s="2" t="s">
        <v>27</v>
      </c>
      <c r="C13" s="2" t="s">
        <v>28</v>
      </c>
      <c r="D13" s="3" t="n">
        <v>7.226</v>
      </c>
    </row>
    <row r="14" customFormat="false" ht="15" hidden="false" customHeight="false" outlineLevel="0" collapsed="false">
      <c r="A14" s="2" t="n">
        <f aca="false">RANK(D14,$D$2:$D$159,0)</f>
        <v>13</v>
      </c>
      <c r="B14" s="2" t="s">
        <v>29</v>
      </c>
      <c r="C14" s="2" t="s">
        <v>13</v>
      </c>
      <c r="D14" s="3" t="n">
        <v>7.2</v>
      </c>
    </row>
    <row r="15" customFormat="false" ht="15" hidden="false" customHeight="false" outlineLevel="0" collapsed="false">
      <c r="A15" s="2" t="n">
        <f aca="false">RANK(D15,$D$2:$D$159,0)</f>
        <v>14</v>
      </c>
      <c r="B15" s="2" t="s">
        <v>30</v>
      </c>
      <c r="C15" s="2" t="s">
        <v>28</v>
      </c>
      <c r="D15" s="3" t="n">
        <v>7.187</v>
      </c>
    </row>
    <row r="16" customFormat="false" ht="15" hidden="false" customHeight="false" outlineLevel="0" collapsed="false">
      <c r="A16" s="2" t="n">
        <f aca="false">RANK(D16,$D$2:$D$159,0)</f>
        <v>15</v>
      </c>
      <c r="B16" s="2" t="s">
        <v>31</v>
      </c>
      <c r="C16" s="2" t="s">
        <v>18</v>
      </c>
      <c r="D16" s="3" t="n">
        <v>7.119</v>
      </c>
    </row>
    <row r="17" customFormat="false" ht="15" hidden="false" customHeight="false" outlineLevel="0" collapsed="false">
      <c r="A17" s="2" t="n">
        <f aca="false">RANK(D17,$D$2:$D$159,0)</f>
        <v>16</v>
      </c>
      <c r="B17" s="2" t="s">
        <v>32</v>
      </c>
      <c r="C17" s="2" t="s">
        <v>28</v>
      </c>
      <c r="D17" s="3" t="n">
        <v>6.983</v>
      </c>
    </row>
    <row r="18" customFormat="false" ht="15" hidden="false" customHeight="false" outlineLevel="0" collapsed="false">
      <c r="A18" s="2" t="n">
        <f aca="false">RANK(D18,$D$2:$D$159,0)</f>
        <v>17</v>
      </c>
      <c r="B18" s="2" t="s">
        <v>33</v>
      </c>
      <c r="C18" s="2" t="s">
        <v>13</v>
      </c>
      <c r="D18" s="3" t="n">
        <v>6.946</v>
      </c>
    </row>
    <row r="19" customFormat="false" ht="15" hidden="false" customHeight="false" outlineLevel="0" collapsed="false">
      <c r="A19" s="2" t="n">
        <f aca="false">RANK(D19,$D$2:$D$159,0)</f>
        <v>18</v>
      </c>
      <c r="B19" s="2" t="s">
        <v>34</v>
      </c>
      <c r="C19" s="2" t="s">
        <v>13</v>
      </c>
      <c r="D19" s="3" t="n">
        <v>6.94</v>
      </c>
    </row>
    <row r="20" customFormat="false" ht="15" hidden="false" customHeight="false" outlineLevel="0" collapsed="false">
      <c r="A20" s="2" t="n">
        <f aca="false">RANK(D20,$D$2:$D$159,0)</f>
        <v>19</v>
      </c>
      <c r="B20" s="2" t="s">
        <v>35</v>
      </c>
      <c r="C20" s="2" t="s">
        <v>13</v>
      </c>
      <c r="D20" s="3" t="n">
        <v>6.937</v>
      </c>
    </row>
    <row r="21" customFormat="false" ht="15" hidden="false" customHeight="false" outlineLevel="0" collapsed="false">
      <c r="A21" s="2" t="n">
        <f aca="false">RANK(D21,$D$2:$D$159,0)</f>
        <v>20</v>
      </c>
      <c r="B21" s="2" t="s">
        <v>36</v>
      </c>
      <c r="C21" s="2" t="s">
        <v>26</v>
      </c>
      <c r="D21" s="3" t="n">
        <v>6.901</v>
      </c>
    </row>
    <row r="22" customFormat="false" ht="15" hidden="false" customHeight="false" outlineLevel="0" collapsed="false">
      <c r="A22" s="2" t="n">
        <f aca="false">RANK(D22,$D$2:$D$159,0)</f>
        <v>21</v>
      </c>
      <c r="B22" s="2" t="s">
        <v>37</v>
      </c>
      <c r="C22" s="2" t="s">
        <v>13</v>
      </c>
      <c r="D22" s="3" t="n">
        <v>6.867</v>
      </c>
    </row>
    <row r="23" customFormat="false" ht="15" hidden="false" customHeight="false" outlineLevel="0" collapsed="false">
      <c r="A23" s="2" t="n">
        <f aca="false">RANK(D23,$D$2:$D$159,0)</f>
        <v>22</v>
      </c>
      <c r="B23" s="2" t="s">
        <v>38</v>
      </c>
      <c r="C23" s="2" t="s">
        <v>26</v>
      </c>
      <c r="D23" s="3" t="n">
        <v>6.853</v>
      </c>
    </row>
    <row r="24" customFormat="false" ht="15" hidden="false" customHeight="false" outlineLevel="0" collapsed="false">
      <c r="A24" s="2" t="n">
        <f aca="false">RANK(D24,$D$2:$D$159,0)</f>
        <v>23</v>
      </c>
      <c r="B24" s="2" t="s">
        <v>39</v>
      </c>
      <c r="C24" s="2" t="s">
        <v>28</v>
      </c>
      <c r="D24" s="3" t="n">
        <v>6.81</v>
      </c>
    </row>
    <row r="25" customFormat="false" ht="15" hidden="false" customHeight="false" outlineLevel="0" collapsed="false">
      <c r="A25" s="2" t="n">
        <f aca="false">RANK(D25,$D$2:$D$159,0)</f>
        <v>24</v>
      </c>
      <c r="B25" s="2" t="s">
        <v>40</v>
      </c>
      <c r="C25" s="2" t="s">
        <v>41</v>
      </c>
      <c r="D25" s="3" t="n">
        <v>6.798</v>
      </c>
    </row>
    <row r="26" customFormat="false" ht="15" hidden="false" customHeight="false" outlineLevel="0" collapsed="false">
      <c r="A26" s="2" t="n">
        <f aca="false">RANK(D26,$D$2:$D$159,0)</f>
        <v>25</v>
      </c>
      <c r="B26" s="2" t="s">
        <v>42</v>
      </c>
      <c r="C26" s="2" t="s">
        <v>28</v>
      </c>
      <c r="D26" s="3" t="n">
        <v>6.786</v>
      </c>
    </row>
    <row r="27" customFormat="false" ht="15" hidden="false" customHeight="false" outlineLevel="0" collapsed="false">
      <c r="A27" s="2" t="n">
        <f aca="false">RANK(D27,$D$2:$D$159,0)</f>
        <v>26</v>
      </c>
      <c r="B27" s="2" t="s">
        <v>43</v>
      </c>
      <c r="C27" s="2" t="s">
        <v>13</v>
      </c>
      <c r="D27" s="3" t="n">
        <v>6.75</v>
      </c>
    </row>
    <row r="28" customFormat="false" ht="15" hidden="false" customHeight="false" outlineLevel="0" collapsed="false">
      <c r="A28" s="2" t="n">
        <f aca="false">RANK(D28,$D$2:$D$159,0)</f>
        <v>27</v>
      </c>
      <c r="B28" s="2" t="s">
        <v>44</v>
      </c>
      <c r="C28" s="2" t="s">
        <v>28</v>
      </c>
      <c r="D28" s="3" t="n">
        <v>6.67</v>
      </c>
    </row>
    <row r="29" customFormat="false" ht="15" hidden="false" customHeight="false" outlineLevel="0" collapsed="false">
      <c r="A29" s="2" t="n">
        <f aca="false">RANK(D29,$D$2:$D$159,0)</f>
        <v>28</v>
      </c>
      <c r="B29" s="2" t="s">
        <v>45</v>
      </c>
      <c r="C29" s="2" t="s">
        <v>26</v>
      </c>
      <c r="D29" s="3" t="n">
        <v>6.611</v>
      </c>
    </row>
    <row r="30" customFormat="false" ht="15" hidden="false" customHeight="false" outlineLevel="0" collapsed="false">
      <c r="A30" s="2" t="n">
        <f aca="false">RANK(D30,$D$2:$D$159,0)</f>
        <v>29</v>
      </c>
      <c r="B30" s="2" t="s">
        <v>46</v>
      </c>
      <c r="C30" s="2" t="s">
        <v>13</v>
      </c>
      <c r="D30" s="3" t="n">
        <v>6.575</v>
      </c>
    </row>
    <row r="31" customFormat="false" ht="15" hidden="false" customHeight="false" outlineLevel="0" collapsed="false">
      <c r="A31" s="2" t="n">
        <f aca="false">RANK(D31,$D$2:$D$159,0)</f>
        <v>30</v>
      </c>
      <c r="B31" s="2" t="s">
        <v>47</v>
      </c>
      <c r="C31" s="2" t="s">
        <v>28</v>
      </c>
      <c r="D31" s="3" t="n">
        <v>6.574</v>
      </c>
    </row>
    <row r="32" customFormat="false" ht="15" hidden="false" customHeight="false" outlineLevel="0" collapsed="false">
      <c r="A32" s="2" t="n">
        <f aca="false">RANK(D32,$D$2:$D$159,0)</f>
        <v>31</v>
      </c>
      <c r="B32" s="2" t="s">
        <v>48</v>
      </c>
      <c r="C32" s="2" t="s">
        <v>49</v>
      </c>
      <c r="D32" s="3" t="n">
        <v>6.505</v>
      </c>
    </row>
    <row r="33" customFormat="false" ht="15" hidden="false" customHeight="false" outlineLevel="0" collapsed="false">
      <c r="A33" s="2" t="n">
        <f aca="false">RANK(D33,$D$2:$D$159,0)</f>
        <v>32</v>
      </c>
      <c r="B33" s="2" t="s">
        <v>50</v>
      </c>
      <c r="C33" s="2" t="s">
        <v>28</v>
      </c>
      <c r="D33" s="3" t="n">
        <v>6.485</v>
      </c>
    </row>
    <row r="34" customFormat="false" ht="15" hidden="false" customHeight="false" outlineLevel="0" collapsed="false">
      <c r="A34" s="2" t="n">
        <f aca="false">RANK(D34,$D$2:$D$159,0)</f>
        <v>33</v>
      </c>
      <c r="B34" s="2" t="s">
        <v>51</v>
      </c>
      <c r="C34" s="2" t="s">
        <v>28</v>
      </c>
      <c r="D34" s="3" t="n">
        <v>6.477</v>
      </c>
    </row>
    <row r="35" customFormat="false" ht="15" hidden="false" customHeight="false" outlineLevel="0" collapsed="false">
      <c r="A35" s="2" t="n">
        <f aca="false">RANK(D35,$D$2:$D$159,0)</f>
        <v>34</v>
      </c>
      <c r="B35" s="2" t="s">
        <v>52</v>
      </c>
      <c r="C35" s="2" t="s">
        <v>41</v>
      </c>
      <c r="D35" s="3" t="n">
        <v>6.455</v>
      </c>
    </row>
    <row r="36" customFormat="false" ht="15" hidden="false" customHeight="false" outlineLevel="0" collapsed="false">
      <c r="A36" s="2" t="n">
        <f aca="false">RANK(D36,$D$2:$D$159,0)</f>
        <v>35</v>
      </c>
      <c r="B36" s="2" t="s">
        <v>53</v>
      </c>
      <c r="C36" s="2" t="s">
        <v>26</v>
      </c>
      <c r="D36" s="3" t="n">
        <v>6.411</v>
      </c>
    </row>
    <row r="37" customFormat="false" ht="15" hidden="false" customHeight="false" outlineLevel="0" collapsed="false">
      <c r="A37" s="2" t="n">
        <f aca="false">RANK(D37,$D$2:$D$159,0)</f>
        <v>36</v>
      </c>
      <c r="B37" s="2" t="s">
        <v>54</v>
      </c>
      <c r="C37" s="2" t="s">
        <v>13</v>
      </c>
      <c r="D37" s="3" t="n">
        <v>6.329</v>
      </c>
    </row>
    <row r="38" customFormat="false" ht="15" hidden="false" customHeight="false" outlineLevel="0" collapsed="false">
      <c r="A38" s="2" t="n">
        <f aca="false">RANK(D38,$D$2:$D$159,0)</f>
        <v>37</v>
      </c>
      <c r="B38" s="2" t="s">
        <v>55</v>
      </c>
      <c r="C38" s="2" t="s">
        <v>13</v>
      </c>
      <c r="D38" s="3" t="n">
        <v>6.302</v>
      </c>
    </row>
    <row r="39" customFormat="false" ht="15" hidden="false" customHeight="false" outlineLevel="0" collapsed="false">
      <c r="A39" s="2" t="n">
        <f aca="false">RANK(D39,$D$2:$D$159,0)</f>
        <v>38</v>
      </c>
      <c r="B39" s="2" t="s">
        <v>56</v>
      </c>
      <c r="C39" s="2" t="s">
        <v>57</v>
      </c>
      <c r="D39" s="3" t="n">
        <v>6.298</v>
      </c>
    </row>
    <row r="40" customFormat="false" ht="15" hidden="false" customHeight="false" outlineLevel="0" collapsed="false">
      <c r="A40" s="2" t="n">
        <f aca="false">RANK(D40,$D$2:$D$159,0)</f>
        <v>39</v>
      </c>
      <c r="B40" s="2" t="s">
        <v>58</v>
      </c>
      <c r="C40" s="2" t="s">
        <v>26</v>
      </c>
      <c r="D40" s="3" t="n">
        <v>6.295</v>
      </c>
    </row>
    <row r="41" customFormat="false" ht="15" hidden="false" customHeight="false" outlineLevel="0" collapsed="false">
      <c r="A41" s="2" t="n">
        <f aca="false">RANK(D41,$D$2:$D$159,0)</f>
        <v>40</v>
      </c>
      <c r="B41" s="2" t="s">
        <v>59</v>
      </c>
      <c r="C41" s="2" t="s">
        <v>28</v>
      </c>
      <c r="D41" s="3" t="n">
        <v>6.269</v>
      </c>
    </row>
    <row r="42" customFormat="false" ht="15" hidden="false" customHeight="false" outlineLevel="0" collapsed="false">
      <c r="A42" s="2" t="n">
        <f aca="false">RANK(D42,$D$2:$D$159,0)</f>
        <v>41</v>
      </c>
      <c r="B42" s="2" t="s">
        <v>60</v>
      </c>
      <c r="C42" s="2" t="s">
        <v>28</v>
      </c>
      <c r="D42" s="3" t="n">
        <v>6.168</v>
      </c>
    </row>
    <row r="43" customFormat="false" ht="15" hidden="false" customHeight="false" outlineLevel="0" collapsed="false">
      <c r="A43" s="2" t="n">
        <f aca="false">RANK(D43,$D$2:$D$159,0)</f>
        <v>42</v>
      </c>
      <c r="B43" s="2" t="s">
        <v>61</v>
      </c>
      <c r="C43" s="2" t="s">
        <v>28</v>
      </c>
      <c r="D43" s="3" t="n">
        <v>6.13</v>
      </c>
    </row>
    <row r="44" customFormat="false" ht="15" hidden="false" customHeight="false" outlineLevel="0" collapsed="false">
      <c r="A44" s="2" t="n">
        <f aca="false">RANK(D44,$D$2:$D$159,0)</f>
        <v>43</v>
      </c>
      <c r="B44" s="2" t="s">
        <v>62</v>
      </c>
      <c r="C44" s="2" t="s">
        <v>28</v>
      </c>
      <c r="D44" s="3" t="n">
        <v>6.123</v>
      </c>
    </row>
    <row r="45" customFormat="false" ht="15" hidden="false" customHeight="false" outlineLevel="0" collapsed="false">
      <c r="A45" s="2" t="n">
        <f aca="false">RANK(D45,$D$2:$D$159,0)</f>
        <v>44</v>
      </c>
      <c r="B45" s="2" t="s">
        <v>63</v>
      </c>
      <c r="C45" s="2" t="s">
        <v>49</v>
      </c>
      <c r="D45" s="3" t="n">
        <v>6.003</v>
      </c>
    </row>
    <row r="46" customFormat="false" ht="15" hidden="false" customHeight="false" outlineLevel="0" collapsed="false">
      <c r="A46" s="2" t="n">
        <f aca="false">RANK(D46,$D$2:$D$159,0)</f>
        <v>45</v>
      </c>
      <c r="B46" s="2" t="s">
        <v>64</v>
      </c>
      <c r="C46" s="2" t="s">
        <v>49</v>
      </c>
      <c r="D46" s="3" t="n">
        <v>5.995</v>
      </c>
    </row>
    <row r="47" customFormat="false" ht="15" hidden="false" customHeight="false" outlineLevel="0" collapsed="false">
      <c r="A47" s="2" t="n">
        <f aca="false">RANK(D47,$D$2:$D$159,0)</f>
        <v>46</v>
      </c>
      <c r="B47" s="2" t="s">
        <v>65</v>
      </c>
      <c r="C47" s="2" t="s">
        <v>57</v>
      </c>
      <c r="D47" s="3" t="n">
        <v>5.987</v>
      </c>
    </row>
    <row r="48" customFormat="false" ht="15" hidden="false" customHeight="false" outlineLevel="0" collapsed="false">
      <c r="A48" s="2" t="n">
        <f aca="false">RANK(D48,$D$2:$D$159,0)</f>
        <v>47</v>
      </c>
      <c r="B48" s="2" t="s">
        <v>66</v>
      </c>
      <c r="C48" s="2" t="s">
        <v>57</v>
      </c>
      <c r="D48" s="3" t="n">
        <v>5.984</v>
      </c>
    </row>
    <row r="49" customFormat="false" ht="15" hidden="false" customHeight="false" outlineLevel="0" collapsed="false">
      <c r="A49" s="2" t="n">
        <f aca="false">RANK(D49,$D$2:$D$159,0)</f>
        <v>48</v>
      </c>
      <c r="B49" s="2" t="s">
        <v>67</v>
      </c>
      <c r="C49" s="2" t="s">
        <v>28</v>
      </c>
      <c r="D49" s="3" t="n">
        <v>5.975</v>
      </c>
    </row>
    <row r="50" customFormat="false" ht="15" hidden="false" customHeight="false" outlineLevel="0" collapsed="false">
      <c r="A50" s="2" t="n">
        <f aca="false">RANK(D50,$D$2:$D$159,0)</f>
        <v>49</v>
      </c>
      <c r="B50" s="2" t="s">
        <v>68</v>
      </c>
      <c r="C50" s="2" t="s">
        <v>26</v>
      </c>
      <c r="D50" s="3" t="n">
        <v>5.96</v>
      </c>
    </row>
    <row r="51" customFormat="false" ht="15" hidden="false" customHeight="false" outlineLevel="0" collapsed="false">
      <c r="A51" s="2" t="n">
        <f aca="false">RANK(D51,$D$2:$D$159,0)</f>
        <v>50</v>
      </c>
      <c r="B51" s="2" t="s">
        <v>69</v>
      </c>
      <c r="C51" s="2" t="s">
        <v>13</v>
      </c>
      <c r="D51" s="3" t="n">
        <v>5.948</v>
      </c>
    </row>
    <row r="52" customFormat="false" ht="15" hidden="false" customHeight="false" outlineLevel="0" collapsed="false">
      <c r="A52" s="2" t="n">
        <f aca="false">RANK(D52,$D$2:$D$159,0)</f>
        <v>51</v>
      </c>
      <c r="B52" s="2" t="s">
        <v>70</v>
      </c>
      <c r="C52" s="2" t="s">
        <v>28</v>
      </c>
      <c r="D52" s="3" t="n">
        <v>5.89</v>
      </c>
    </row>
    <row r="53" customFormat="false" ht="15" hidden="false" customHeight="false" outlineLevel="0" collapsed="false">
      <c r="A53" s="2" t="n">
        <f aca="false">RANK(D53,$D$2:$D$159,0)</f>
        <v>52</v>
      </c>
      <c r="B53" s="2" t="s">
        <v>71</v>
      </c>
      <c r="C53" s="2" t="s">
        <v>49</v>
      </c>
      <c r="D53" s="3" t="n">
        <v>5.889</v>
      </c>
    </row>
    <row r="54" customFormat="false" ht="15" hidden="false" customHeight="false" outlineLevel="0" collapsed="false">
      <c r="A54" s="2" t="n">
        <f aca="false">RANK(D54,$D$2:$D$159,0)</f>
        <v>53</v>
      </c>
      <c r="B54" s="2" t="s">
        <v>72</v>
      </c>
      <c r="C54" s="2" t="s">
        <v>28</v>
      </c>
      <c r="D54" s="3" t="n">
        <v>5.878</v>
      </c>
    </row>
    <row r="55" customFormat="false" ht="15" hidden="false" customHeight="false" outlineLevel="0" collapsed="false">
      <c r="A55" s="2" t="n">
        <f aca="false">RANK(D55,$D$2:$D$159,0)</f>
        <v>54</v>
      </c>
      <c r="B55" s="2" t="s">
        <v>73</v>
      </c>
      <c r="C55" s="2" t="s">
        <v>49</v>
      </c>
      <c r="D55" s="3" t="n">
        <v>5.855</v>
      </c>
    </row>
    <row r="56" customFormat="false" ht="15" hidden="false" customHeight="false" outlineLevel="0" collapsed="false">
      <c r="A56" s="2" t="n">
        <f aca="false">RANK(D56,$D$2:$D$159,0)</f>
        <v>55</v>
      </c>
      <c r="B56" s="2" t="s">
        <v>74</v>
      </c>
      <c r="C56" s="2" t="s">
        <v>49</v>
      </c>
      <c r="D56" s="3" t="n">
        <v>5.848</v>
      </c>
    </row>
    <row r="57" customFormat="false" ht="15" hidden="false" customHeight="false" outlineLevel="0" collapsed="false">
      <c r="A57" s="2" t="n">
        <f aca="false">RANK(D57,$D$2:$D$159,0)</f>
        <v>56</v>
      </c>
      <c r="B57" s="2" t="s">
        <v>75</v>
      </c>
      <c r="C57" s="2" t="s">
        <v>49</v>
      </c>
      <c r="D57" s="3" t="n">
        <v>5.833</v>
      </c>
    </row>
    <row r="58" customFormat="false" ht="15" hidden="false" customHeight="false" outlineLevel="0" collapsed="false">
      <c r="A58" s="2" t="n">
        <f aca="false">RANK(D58,$D$2:$D$159,0)</f>
        <v>57</v>
      </c>
      <c r="B58" s="2" t="s">
        <v>76</v>
      </c>
      <c r="C58" s="2" t="s">
        <v>28</v>
      </c>
      <c r="D58" s="3" t="n">
        <v>5.828</v>
      </c>
    </row>
    <row r="59" customFormat="false" ht="15" hidden="false" customHeight="false" outlineLevel="0" collapsed="false">
      <c r="A59" s="2" t="n">
        <f aca="false">RANK(D59,$D$2:$D$159,0)</f>
        <v>58</v>
      </c>
      <c r="B59" s="2" t="s">
        <v>77</v>
      </c>
      <c r="C59" s="2" t="s">
        <v>28</v>
      </c>
      <c r="D59" s="3" t="n">
        <v>5.824</v>
      </c>
    </row>
    <row r="60" customFormat="false" ht="15" hidden="false" customHeight="false" outlineLevel="0" collapsed="false">
      <c r="A60" s="2" t="n">
        <f aca="false">RANK(D60,$D$2:$D$159,0)</f>
        <v>59</v>
      </c>
      <c r="B60" s="2" t="s">
        <v>78</v>
      </c>
      <c r="C60" s="2" t="s">
        <v>49</v>
      </c>
      <c r="D60" s="3" t="n">
        <v>5.813</v>
      </c>
    </row>
    <row r="61" customFormat="false" ht="15" hidden="false" customHeight="false" outlineLevel="0" collapsed="false">
      <c r="A61" s="2" t="n">
        <f aca="false">RANK(D61,$D$2:$D$159,0)</f>
        <v>60</v>
      </c>
      <c r="B61" s="2" t="s">
        <v>79</v>
      </c>
      <c r="C61" s="2" t="s">
        <v>49</v>
      </c>
      <c r="D61" s="3" t="n">
        <v>5.791</v>
      </c>
    </row>
    <row r="62" customFormat="false" ht="15" hidden="false" customHeight="false" outlineLevel="0" collapsed="false">
      <c r="A62" s="2" t="n">
        <f aca="false">RANK(D62,$D$2:$D$159,0)</f>
        <v>61</v>
      </c>
      <c r="B62" s="2" t="s">
        <v>80</v>
      </c>
      <c r="C62" s="2" t="s">
        <v>41</v>
      </c>
      <c r="D62" s="3" t="n">
        <v>5.77</v>
      </c>
    </row>
    <row r="63" customFormat="false" ht="15" hidden="false" customHeight="false" outlineLevel="0" collapsed="false">
      <c r="A63" s="2" t="n">
        <f aca="false">RANK(D63,$D$2:$D$159,0)</f>
        <v>62</v>
      </c>
      <c r="B63" s="2" t="s">
        <v>81</v>
      </c>
      <c r="C63" s="2" t="s">
        <v>49</v>
      </c>
      <c r="D63" s="3" t="n">
        <v>5.759</v>
      </c>
    </row>
    <row r="64" customFormat="false" ht="15" hidden="false" customHeight="false" outlineLevel="0" collapsed="false">
      <c r="A64" s="2" t="n">
        <f aca="false">RANK(D64,$D$2:$D$159,0)</f>
        <v>63</v>
      </c>
      <c r="B64" s="2" t="s">
        <v>82</v>
      </c>
      <c r="C64" s="2" t="s">
        <v>26</v>
      </c>
      <c r="D64" s="3" t="n">
        <v>5.754</v>
      </c>
    </row>
    <row r="65" customFormat="false" ht="15" hidden="false" customHeight="false" outlineLevel="0" collapsed="false">
      <c r="A65" s="2" t="n">
        <f aca="false">RANK(D65,$D$2:$D$159,0)</f>
        <v>64</v>
      </c>
      <c r="B65" s="2" t="s">
        <v>83</v>
      </c>
      <c r="C65" s="2" t="s">
        <v>49</v>
      </c>
      <c r="D65" s="3" t="n">
        <v>5.716</v>
      </c>
    </row>
    <row r="66" customFormat="false" ht="15" hidden="false" customHeight="false" outlineLevel="0" collapsed="false">
      <c r="A66" s="2" t="n">
        <f aca="false">RANK(D66,$D$2:$D$159,0)</f>
        <v>65</v>
      </c>
      <c r="B66" s="2" t="s">
        <v>84</v>
      </c>
      <c r="C66" s="2" t="s">
        <v>28</v>
      </c>
      <c r="D66" s="3" t="n">
        <v>5.709</v>
      </c>
    </row>
    <row r="67" customFormat="false" ht="15" hidden="false" customHeight="false" outlineLevel="0" collapsed="false">
      <c r="A67" s="2" t="n">
        <f aca="false">RANK(D67,$D$2:$D$159,0)</f>
        <v>66</v>
      </c>
      <c r="B67" s="2" t="s">
        <v>85</v>
      </c>
      <c r="C67" s="2" t="s">
        <v>13</v>
      </c>
      <c r="D67" s="3" t="n">
        <v>5.695</v>
      </c>
    </row>
    <row r="68" customFormat="false" ht="15" hidden="false" customHeight="false" outlineLevel="0" collapsed="false">
      <c r="A68" s="2" t="n">
        <f aca="false">RANK(D68,$D$2:$D$159,0)</f>
        <v>67</v>
      </c>
      <c r="B68" s="2" t="s">
        <v>86</v>
      </c>
      <c r="C68" s="2" t="s">
        <v>13</v>
      </c>
      <c r="D68" s="3" t="n">
        <v>5.689</v>
      </c>
    </row>
    <row r="69" customFormat="false" ht="15" hidden="false" customHeight="false" outlineLevel="0" collapsed="false">
      <c r="A69" s="2" t="n">
        <f aca="false">RANK(D69,$D$2:$D$159,0)</f>
        <v>68</v>
      </c>
      <c r="B69" s="2" t="s">
        <v>87</v>
      </c>
      <c r="C69" s="2" t="s">
        <v>26</v>
      </c>
      <c r="D69" s="3" t="n">
        <v>5.605</v>
      </c>
    </row>
    <row r="70" customFormat="false" ht="15" hidden="false" customHeight="false" outlineLevel="0" collapsed="false">
      <c r="A70" s="2" t="n">
        <f aca="false">RANK(D70,$D$2:$D$159,0)</f>
        <v>69</v>
      </c>
      <c r="B70" s="2" t="s">
        <v>88</v>
      </c>
      <c r="C70" s="2" t="s">
        <v>49</v>
      </c>
      <c r="D70" s="3" t="n">
        <v>5.589</v>
      </c>
    </row>
    <row r="71" customFormat="false" ht="15" hidden="false" customHeight="false" outlineLevel="0" collapsed="false">
      <c r="A71" s="2" t="n">
        <f aca="false">RANK(D71,$D$2:$D$159,0)</f>
        <v>70</v>
      </c>
      <c r="B71" s="2" t="s">
        <v>89</v>
      </c>
      <c r="C71" s="2" t="s">
        <v>49</v>
      </c>
      <c r="D71" s="3" t="n">
        <v>5.548</v>
      </c>
    </row>
    <row r="72" customFormat="false" ht="15" hidden="false" customHeight="false" outlineLevel="0" collapsed="false">
      <c r="A72" s="2" t="n">
        <f aca="false">RANK(D72,$D$2:$D$159,0)</f>
        <v>71</v>
      </c>
      <c r="B72" s="2" t="s">
        <v>90</v>
      </c>
      <c r="C72" s="2" t="s">
        <v>91</v>
      </c>
      <c r="D72" s="3" t="n">
        <v>5.477</v>
      </c>
    </row>
    <row r="73" customFormat="false" ht="15" hidden="false" customHeight="false" outlineLevel="0" collapsed="false">
      <c r="A73" s="2" t="n">
        <f aca="false">RANK(D73,$D$2:$D$159,0)</f>
        <v>72</v>
      </c>
      <c r="B73" s="2" t="s">
        <v>92</v>
      </c>
      <c r="C73" s="2" t="s">
        <v>57</v>
      </c>
      <c r="D73" s="3" t="n">
        <v>5.474</v>
      </c>
    </row>
    <row r="74" customFormat="false" ht="15" hidden="false" customHeight="false" outlineLevel="0" collapsed="false">
      <c r="A74" s="2" t="n">
        <f aca="false">RANK(D74,$D$2:$D$159,0)</f>
        <v>73</v>
      </c>
      <c r="B74" s="2" t="s">
        <v>93</v>
      </c>
      <c r="C74" s="2" t="s">
        <v>49</v>
      </c>
      <c r="D74" s="3" t="n">
        <v>5.429</v>
      </c>
    </row>
    <row r="75" customFormat="false" ht="15" hidden="false" customHeight="false" outlineLevel="0" collapsed="false">
      <c r="A75" s="2" t="n">
        <f aca="false">RANK(D75,$D$2:$D$159,0)</f>
        <v>74</v>
      </c>
      <c r="B75" s="2" t="s">
        <v>94</v>
      </c>
      <c r="C75" s="2" t="s">
        <v>41</v>
      </c>
      <c r="D75" s="3" t="n">
        <v>5.399</v>
      </c>
    </row>
    <row r="76" customFormat="false" ht="15" hidden="false" customHeight="false" outlineLevel="0" collapsed="false">
      <c r="A76" s="2" t="n">
        <f aca="false">RANK(D76,$D$2:$D$159,0)</f>
        <v>75</v>
      </c>
      <c r="B76" s="2" t="s">
        <v>95</v>
      </c>
      <c r="C76" s="2" t="s">
        <v>41</v>
      </c>
      <c r="D76" s="3" t="n">
        <v>5.36</v>
      </c>
    </row>
    <row r="77" customFormat="false" ht="15" hidden="false" customHeight="false" outlineLevel="0" collapsed="false">
      <c r="A77" s="2" t="n">
        <f aca="false">RANK(D77,$D$2:$D$159,0)</f>
        <v>76</v>
      </c>
      <c r="B77" s="2" t="s">
        <v>96</v>
      </c>
      <c r="C77" s="2" t="s">
        <v>26</v>
      </c>
      <c r="D77" s="3" t="n">
        <v>5.332</v>
      </c>
    </row>
    <row r="78" customFormat="false" ht="15" hidden="false" customHeight="false" outlineLevel="0" collapsed="false">
      <c r="A78" s="2" t="n">
        <f aca="false">RANK(D78,$D$2:$D$159,0)</f>
        <v>77</v>
      </c>
      <c r="B78" s="2" t="s">
        <v>97</v>
      </c>
      <c r="C78" s="2" t="s">
        <v>49</v>
      </c>
      <c r="D78" s="3" t="n">
        <v>5.286</v>
      </c>
    </row>
    <row r="79" customFormat="false" ht="15" hidden="false" customHeight="false" outlineLevel="0" collapsed="false">
      <c r="A79" s="2" t="n">
        <f aca="false">RANK(D79,$D$2:$D$159,0)</f>
        <v>78</v>
      </c>
      <c r="B79" s="2" t="s">
        <v>98</v>
      </c>
      <c r="C79" s="2" t="s">
        <v>91</v>
      </c>
      <c r="D79" s="3" t="n">
        <v>5.268</v>
      </c>
    </row>
    <row r="80" customFormat="false" ht="15" hidden="false" customHeight="false" outlineLevel="0" collapsed="false">
      <c r="A80" s="2" t="n">
        <f aca="false">RANK(D80,$D$2:$D$159,0)</f>
        <v>79</v>
      </c>
      <c r="B80" s="2" t="s">
        <v>99</v>
      </c>
      <c r="C80" s="2" t="s">
        <v>100</v>
      </c>
      <c r="D80" s="3" t="n">
        <v>5.253</v>
      </c>
    </row>
    <row r="81" customFormat="false" ht="15" hidden="false" customHeight="false" outlineLevel="0" collapsed="false">
      <c r="A81" s="2" t="n">
        <f aca="false">RANK(D81,$D$2:$D$159,0)</f>
        <v>80</v>
      </c>
      <c r="B81" s="2" t="s">
        <v>101</v>
      </c>
      <c r="C81" s="2" t="s">
        <v>49</v>
      </c>
      <c r="D81" s="3" t="n">
        <v>5.212</v>
      </c>
    </row>
    <row r="82" customFormat="false" ht="15" hidden="false" customHeight="false" outlineLevel="0" collapsed="false">
      <c r="A82" s="2" t="n">
        <f aca="false">RANK(D82,$D$2:$D$159,0)</f>
        <v>81</v>
      </c>
      <c r="B82" s="2" t="s">
        <v>102</v>
      </c>
      <c r="C82" s="2" t="s">
        <v>100</v>
      </c>
      <c r="D82" s="3" t="n">
        <v>5.194</v>
      </c>
    </row>
    <row r="83" customFormat="false" ht="15" hidden="false" customHeight="false" outlineLevel="0" collapsed="false">
      <c r="A83" s="2" t="n">
        <f aca="false">RANK(D83,$D$2:$D$159,0)</f>
        <v>82</v>
      </c>
      <c r="B83" s="2" t="s">
        <v>103</v>
      </c>
      <c r="C83" s="2" t="s">
        <v>26</v>
      </c>
      <c r="D83" s="3" t="n">
        <v>5.192</v>
      </c>
    </row>
    <row r="84" customFormat="false" ht="15" hidden="false" customHeight="false" outlineLevel="0" collapsed="false">
      <c r="A84" s="2" t="n">
        <f aca="false">RANK(D84,$D$2:$D$159,0)</f>
        <v>82</v>
      </c>
      <c r="B84" s="2" t="s">
        <v>104</v>
      </c>
      <c r="C84" s="2" t="s">
        <v>49</v>
      </c>
      <c r="D84" s="3" t="n">
        <v>5.192</v>
      </c>
    </row>
    <row r="85" customFormat="false" ht="15" hidden="false" customHeight="false" outlineLevel="0" collapsed="false">
      <c r="A85" s="2" t="n">
        <f aca="false">RANK(D85,$D$2:$D$159,0)</f>
        <v>84</v>
      </c>
      <c r="B85" s="2" t="s">
        <v>105</v>
      </c>
      <c r="C85" s="2" t="s">
        <v>57</v>
      </c>
      <c r="D85" s="3" t="n">
        <v>5.14</v>
      </c>
    </row>
    <row r="86" customFormat="false" ht="15" hidden="false" customHeight="false" outlineLevel="0" collapsed="false">
      <c r="A86" s="2" t="n">
        <f aca="false">RANK(D86,$D$2:$D$159,0)</f>
        <v>85</v>
      </c>
      <c r="B86" s="2" t="s">
        <v>106</v>
      </c>
      <c r="C86" s="2" t="s">
        <v>91</v>
      </c>
      <c r="D86" s="3" t="n">
        <v>5.129</v>
      </c>
    </row>
    <row r="87" customFormat="false" ht="15" hidden="false" customHeight="false" outlineLevel="0" collapsed="false">
      <c r="A87" s="2" t="n">
        <f aca="false">RANK(D87,$D$2:$D$159,0)</f>
        <v>86</v>
      </c>
      <c r="B87" s="2" t="s">
        <v>107</v>
      </c>
      <c r="C87" s="2" t="s">
        <v>49</v>
      </c>
      <c r="D87" s="3" t="n">
        <v>5.124</v>
      </c>
    </row>
    <row r="88" customFormat="false" ht="15" hidden="false" customHeight="false" outlineLevel="0" collapsed="false">
      <c r="A88" s="2" t="n">
        <f aca="false">RANK(D88,$D$2:$D$159,0)</f>
        <v>87</v>
      </c>
      <c r="B88" s="2" t="s">
        <v>108</v>
      </c>
      <c r="C88" s="2" t="s">
        <v>49</v>
      </c>
      <c r="D88" s="3" t="n">
        <v>5.123</v>
      </c>
    </row>
    <row r="89" customFormat="false" ht="15" hidden="false" customHeight="false" outlineLevel="0" collapsed="false">
      <c r="A89" s="2" t="n">
        <f aca="false">RANK(D89,$D$2:$D$159,0)</f>
        <v>88</v>
      </c>
      <c r="B89" s="2" t="s">
        <v>109</v>
      </c>
      <c r="C89" s="2" t="s">
        <v>13</v>
      </c>
      <c r="D89" s="3" t="n">
        <v>5.102</v>
      </c>
    </row>
    <row r="90" customFormat="false" ht="15" hidden="false" customHeight="false" outlineLevel="0" collapsed="false">
      <c r="A90" s="2" t="n">
        <f aca="false">RANK(D90,$D$2:$D$159,0)</f>
        <v>89</v>
      </c>
      <c r="B90" s="2" t="s">
        <v>110</v>
      </c>
      <c r="C90" s="2" t="s">
        <v>49</v>
      </c>
      <c r="D90" s="3" t="n">
        <v>5.098</v>
      </c>
    </row>
    <row r="91" customFormat="false" ht="15" hidden="false" customHeight="false" outlineLevel="0" collapsed="false">
      <c r="A91" s="2" t="n">
        <f aca="false">RANK(D91,$D$2:$D$159,0)</f>
        <v>90</v>
      </c>
      <c r="B91" s="2" t="s">
        <v>111</v>
      </c>
      <c r="C91" s="2" t="s">
        <v>41</v>
      </c>
      <c r="D91" s="3" t="n">
        <v>5.073</v>
      </c>
    </row>
    <row r="92" customFormat="false" ht="15" hidden="false" customHeight="false" outlineLevel="0" collapsed="false">
      <c r="A92" s="2" t="n">
        <f aca="false">RANK(D92,$D$2:$D$159,0)</f>
        <v>91</v>
      </c>
      <c r="B92" s="2" t="s">
        <v>112</v>
      </c>
      <c r="C92" s="2" t="s">
        <v>91</v>
      </c>
      <c r="D92" s="3" t="n">
        <v>5.057</v>
      </c>
    </row>
    <row r="93" customFormat="false" ht="15" hidden="false" customHeight="false" outlineLevel="0" collapsed="false">
      <c r="A93" s="2" t="n">
        <f aca="false">RANK(D93,$D$2:$D$159,0)</f>
        <v>92</v>
      </c>
      <c r="B93" s="2" t="s">
        <v>113</v>
      </c>
      <c r="C93" s="2" t="s">
        <v>26</v>
      </c>
      <c r="D93" s="3" t="n">
        <v>5.013</v>
      </c>
    </row>
    <row r="94" customFormat="false" ht="15" hidden="false" customHeight="false" outlineLevel="0" collapsed="false">
      <c r="A94" s="2" t="n">
        <f aca="false">RANK(D94,$D$2:$D$159,0)</f>
        <v>93</v>
      </c>
      <c r="B94" s="2" t="s">
        <v>114</v>
      </c>
      <c r="C94" s="2" t="s">
        <v>49</v>
      </c>
      <c r="D94" s="3" t="n">
        <v>5.007</v>
      </c>
    </row>
    <row r="95" customFormat="false" ht="15" hidden="false" customHeight="false" outlineLevel="0" collapsed="false">
      <c r="A95" s="2" t="n">
        <f aca="false">RANK(D95,$D$2:$D$159,0)</f>
        <v>94</v>
      </c>
      <c r="B95" s="2" t="s">
        <v>115</v>
      </c>
      <c r="C95" s="2" t="s">
        <v>91</v>
      </c>
      <c r="D95" s="3" t="n">
        <v>4.971</v>
      </c>
    </row>
    <row r="96" customFormat="false" ht="15" hidden="false" customHeight="false" outlineLevel="0" collapsed="false">
      <c r="A96" s="2" t="n">
        <f aca="false">RANK(D96,$D$2:$D$159,0)</f>
        <v>95</v>
      </c>
      <c r="B96" s="2" t="s">
        <v>116</v>
      </c>
      <c r="C96" s="2" t="s">
        <v>49</v>
      </c>
      <c r="D96" s="3" t="n">
        <v>4.959</v>
      </c>
    </row>
    <row r="97" customFormat="false" ht="15" hidden="false" customHeight="false" outlineLevel="0" collapsed="false">
      <c r="A97" s="2" t="n">
        <f aca="false">RANK(D97,$D$2:$D$159,0)</f>
        <v>96</v>
      </c>
      <c r="B97" s="2" t="s">
        <v>117</v>
      </c>
      <c r="C97" s="2" t="s">
        <v>49</v>
      </c>
      <c r="D97" s="3" t="n">
        <v>4.949</v>
      </c>
    </row>
    <row r="98" customFormat="false" ht="15" hidden="false" customHeight="false" outlineLevel="0" collapsed="false">
      <c r="A98" s="2" t="n">
        <f aca="false">RANK(D98,$D$2:$D$159,0)</f>
        <v>97</v>
      </c>
      <c r="B98" s="2" t="s">
        <v>118</v>
      </c>
      <c r="C98" s="2" t="s">
        <v>91</v>
      </c>
      <c r="D98" s="3" t="n">
        <v>4.898</v>
      </c>
    </row>
    <row r="99" customFormat="false" ht="15" hidden="false" customHeight="false" outlineLevel="0" collapsed="false">
      <c r="A99" s="2" t="n">
        <f aca="false">RANK(D99,$D$2:$D$159,0)</f>
        <v>98</v>
      </c>
      <c r="B99" s="2" t="s">
        <v>119</v>
      </c>
      <c r="C99" s="2" t="s">
        <v>28</v>
      </c>
      <c r="D99" s="3" t="n">
        <v>4.885</v>
      </c>
    </row>
    <row r="100" customFormat="false" ht="15" hidden="false" customHeight="false" outlineLevel="0" collapsed="false">
      <c r="A100" s="2" t="n">
        <f aca="false">RANK(D100,$D$2:$D$159,0)</f>
        <v>99</v>
      </c>
      <c r="B100" s="2" t="s">
        <v>120</v>
      </c>
      <c r="C100" s="2" t="s">
        <v>41</v>
      </c>
      <c r="D100" s="3" t="n">
        <v>4.876</v>
      </c>
    </row>
    <row r="101" customFormat="false" ht="15" hidden="false" customHeight="false" outlineLevel="0" collapsed="false">
      <c r="A101" s="2" t="n">
        <f aca="false">RANK(D101,$D$2:$D$159,0)</f>
        <v>100</v>
      </c>
      <c r="B101" s="2" t="s">
        <v>121</v>
      </c>
      <c r="C101" s="2" t="s">
        <v>57</v>
      </c>
      <c r="D101" s="3" t="n">
        <v>4.874</v>
      </c>
    </row>
    <row r="102" customFormat="false" ht="15" hidden="false" customHeight="false" outlineLevel="0" collapsed="false">
      <c r="A102" s="2" t="n">
        <f aca="false">RANK(D102,$D$2:$D$159,0)</f>
        <v>101</v>
      </c>
      <c r="B102" s="2" t="s">
        <v>122</v>
      </c>
      <c r="C102" s="2" t="s">
        <v>91</v>
      </c>
      <c r="D102" s="3" t="n">
        <v>4.867</v>
      </c>
    </row>
    <row r="103" customFormat="false" ht="15" hidden="false" customHeight="false" outlineLevel="0" collapsed="false">
      <c r="A103" s="2" t="n">
        <f aca="false">RANK(D103,$D$2:$D$159,0)</f>
        <v>102</v>
      </c>
      <c r="B103" s="2" t="s">
        <v>123</v>
      </c>
      <c r="C103" s="2" t="s">
        <v>13</v>
      </c>
      <c r="D103" s="3" t="n">
        <v>4.857</v>
      </c>
    </row>
    <row r="104" customFormat="false" ht="15" hidden="false" customHeight="false" outlineLevel="0" collapsed="false">
      <c r="A104" s="2" t="n">
        <f aca="false">RANK(D104,$D$2:$D$159,0)</f>
        <v>103</v>
      </c>
      <c r="B104" s="2" t="s">
        <v>124</v>
      </c>
      <c r="C104" s="2" t="s">
        <v>26</v>
      </c>
      <c r="D104" s="3" t="n">
        <v>4.839</v>
      </c>
    </row>
    <row r="105" customFormat="false" ht="15" hidden="false" customHeight="false" outlineLevel="0" collapsed="false">
      <c r="A105" s="2" t="n">
        <f aca="false">RANK(D105,$D$2:$D$159,0)</f>
        <v>104</v>
      </c>
      <c r="B105" s="2" t="s">
        <v>125</v>
      </c>
      <c r="C105" s="2" t="s">
        <v>49</v>
      </c>
      <c r="D105" s="3" t="n">
        <v>4.8</v>
      </c>
    </row>
    <row r="106" customFormat="false" ht="15" hidden="false" customHeight="false" outlineLevel="0" collapsed="false">
      <c r="A106" s="2" t="n">
        <f aca="false">RANK(D106,$D$2:$D$159,0)</f>
        <v>105</v>
      </c>
      <c r="B106" s="2" t="s">
        <v>126</v>
      </c>
      <c r="C106" s="2" t="s">
        <v>28</v>
      </c>
      <c r="D106" s="3" t="n">
        <v>4.788</v>
      </c>
    </row>
    <row r="107" customFormat="false" ht="15" hidden="false" customHeight="false" outlineLevel="0" collapsed="false">
      <c r="A107" s="2" t="n">
        <f aca="false">RANK(D107,$D$2:$D$159,0)</f>
        <v>106</v>
      </c>
      <c r="B107" s="2" t="s">
        <v>127</v>
      </c>
      <c r="C107" s="2" t="s">
        <v>49</v>
      </c>
      <c r="D107" s="3" t="n">
        <v>4.786</v>
      </c>
    </row>
    <row r="108" customFormat="false" ht="15" hidden="false" customHeight="false" outlineLevel="0" collapsed="false">
      <c r="A108" s="2" t="n">
        <f aca="false">RANK(D108,$D$2:$D$159,0)</f>
        <v>107</v>
      </c>
      <c r="B108" s="2" t="s">
        <v>128</v>
      </c>
      <c r="C108" s="2" t="s">
        <v>26</v>
      </c>
      <c r="D108" s="3" t="n">
        <v>4.739</v>
      </c>
    </row>
    <row r="109" customFormat="false" ht="15" hidden="false" customHeight="false" outlineLevel="0" collapsed="false">
      <c r="A109" s="2" t="n">
        <f aca="false">RANK(D109,$D$2:$D$159,0)</f>
        <v>108</v>
      </c>
      <c r="B109" s="2" t="s">
        <v>129</v>
      </c>
      <c r="C109" s="2" t="s">
        <v>26</v>
      </c>
      <c r="D109" s="3" t="n">
        <v>4.715</v>
      </c>
    </row>
    <row r="110" customFormat="false" ht="15" hidden="false" customHeight="false" outlineLevel="0" collapsed="false">
      <c r="A110" s="2" t="n">
        <f aca="false">RANK(D110,$D$2:$D$159,0)</f>
        <v>109</v>
      </c>
      <c r="B110" s="2" t="s">
        <v>130</v>
      </c>
      <c r="C110" s="2" t="s">
        <v>100</v>
      </c>
      <c r="D110" s="3" t="n">
        <v>4.694</v>
      </c>
    </row>
    <row r="111" customFormat="false" ht="15" hidden="false" customHeight="false" outlineLevel="0" collapsed="false">
      <c r="A111" s="2" t="n">
        <f aca="false">RANK(D111,$D$2:$D$159,0)</f>
        <v>110</v>
      </c>
      <c r="B111" s="2" t="s">
        <v>131</v>
      </c>
      <c r="C111" s="2" t="s">
        <v>26</v>
      </c>
      <c r="D111" s="3" t="n">
        <v>4.686</v>
      </c>
    </row>
    <row r="112" customFormat="false" ht="15" hidden="false" customHeight="false" outlineLevel="0" collapsed="false">
      <c r="A112" s="2" t="n">
        <f aca="false">RANK(D112,$D$2:$D$159,0)</f>
        <v>111</v>
      </c>
      <c r="B112" s="2" t="s">
        <v>132</v>
      </c>
      <c r="C112" s="2" t="s">
        <v>49</v>
      </c>
      <c r="D112" s="3" t="n">
        <v>4.681</v>
      </c>
    </row>
    <row r="113" customFormat="false" ht="15" hidden="false" customHeight="false" outlineLevel="0" collapsed="false">
      <c r="A113" s="2" t="n">
        <f aca="false">RANK(D113,$D$2:$D$159,0)</f>
        <v>112</v>
      </c>
      <c r="B113" s="2" t="s">
        <v>133</v>
      </c>
      <c r="C113" s="2" t="s">
        <v>26</v>
      </c>
      <c r="D113" s="3" t="n">
        <v>4.677</v>
      </c>
    </row>
    <row r="114" customFormat="false" ht="15" hidden="false" customHeight="false" outlineLevel="0" collapsed="false">
      <c r="A114" s="2" t="n">
        <f aca="false">RANK(D114,$D$2:$D$159,0)</f>
        <v>113</v>
      </c>
      <c r="B114" s="2" t="s">
        <v>134</v>
      </c>
      <c r="C114" s="2" t="s">
        <v>91</v>
      </c>
      <c r="D114" s="3" t="n">
        <v>4.642</v>
      </c>
    </row>
    <row r="115" customFormat="false" ht="15" hidden="false" customHeight="false" outlineLevel="0" collapsed="false">
      <c r="A115" s="2" t="n">
        <f aca="false">RANK(D115,$D$2:$D$159,0)</f>
        <v>114</v>
      </c>
      <c r="B115" s="2" t="s">
        <v>135</v>
      </c>
      <c r="C115" s="2" t="s">
        <v>91</v>
      </c>
      <c r="D115" s="3" t="n">
        <v>4.633</v>
      </c>
    </row>
    <row r="116" customFormat="false" ht="15" hidden="false" customHeight="false" outlineLevel="0" collapsed="false">
      <c r="A116" s="2" t="n">
        <f aca="false">RANK(D116,$D$2:$D$159,0)</f>
        <v>115</v>
      </c>
      <c r="B116" s="2" t="s">
        <v>136</v>
      </c>
      <c r="C116" s="2" t="s">
        <v>91</v>
      </c>
      <c r="D116" s="3" t="n">
        <v>4.61</v>
      </c>
    </row>
    <row r="117" customFormat="false" ht="15" hidden="false" customHeight="false" outlineLevel="0" collapsed="false">
      <c r="A117" s="2" t="n">
        <f aca="false">RANK(D117,$D$2:$D$159,0)</f>
        <v>116</v>
      </c>
      <c r="B117" s="2" t="s">
        <v>137</v>
      </c>
      <c r="C117" s="2" t="s">
        <v>91</v>
      </c>
      <c r="D117" s="3" t="n">
        <v>4.571</v>
      </c>
    </row>
    <row r="118" customFormat="false" ht="15" hidden="false" customHeight="false" outlineLevel="0" collapsed="false">
      <c r="A118" s="2" t="n">
        <f aca="false">RANK(D118,$D$2:$D$159,0)</f>
        <v>117</v>
      </c>
      <c r="B118" s="2" t="s">
        <v>138</v>
      </c>
      <c r="C118" s="2" t="s">
        <v>100</v>
      </c>
      <c r="D118" s="3" t="n">
        <v>4.565</v>
      </c>
    </row>
    <row r="119" customFormat="false" ht="15" hidden="false" customHeight="false" outlineLevel="0" collapsed="false">
      <c r="A119" s="2" t="n">
        <f aca="false">RANK(D119,$D$2:$D$159,0)</f>
        <v>118</v>
      </c>
      <c r="B119" s="2" t="s">
        <v>139</v>
      </c>
      <c r="C119" s="2" t="s">
        <v>91</v>
      </c>
      <c r="D119" s="3" t="n">
        <v>4.55</v>
      </c>
    </row>
    <row r="120" customFormat="false" ht="15" hidden="false" customHeight="false" outlineLevel="0" collapsed="false">
      <c r="A120" s="2" t="n">
        <f aca="false">RANK(D120,$D$2:$D$159,0)</f>
        <v>119</v>
      </c>
      <c r="B120" s="2" t="s">
        <v>140</v>
      </c>
      <c r="C120" s="2" t="s">
        <v>28</v>
      </c>
      <c r="D120" s="3" t="n">
        <v>4.518</v>
      </c>
    </row>
    <row r="121" customFormat="false" ht="15" hidden="false" customHeight="false" outlineLevel="0" collapsed="false">
      <c r="A121" s="2" t="n">
        <f aca="false">RANK(D121,$D$2:$D$159,0)</f>
        <v>120</v>
      </c>
      <c r="B121" s="2" t="s">
        <v>141</v>
      </c>
      <c r="C121" s="2" t="s">
        <v>91</v>
      </c>
      <c r="D121" s="3" t="n">
        <v>4.517</v>
      </c>
    </row>
    <row r="122" customFormat="false" ht="15" hidden="false" customHeight="false" outlineLevel="0" collapsed="false">
      <c r="A122" s="2" t="n">
        <f aca="false">RANK(D122,$D$2:$D$159,0)</f>
        <v>121</v>
      </c>
      <c r="B122" s="2" t="s">
        <v>142</v>
      </c>
      <c r="C122" s="2" t="s">
        <v>100</v>
      </c>
      <c r="D122" s="3" t="n">
        <v>4.514</v>
      </c>
    </row>
    <row r="123" customFormat="false" ht="15" hidden="false" customHeight="false" outlineLevel="0" collapsed="false">
      <c r="A123" s="2" t="n">
        <f aca="false">RANK(D123,$D$2:$D$159,0)</f>
        <v>122</v>
      </c>
      <c r="B123" s="2" t="s">
        <v>143</v>
      </c>
      <c r="C123" s="2" t="s">
        <v>91</v>
      </c>
      <c r="D123" s="3" t="n">
        <v>4.512</v>
      </c>
    </row>
    <row r="124" customFormat="false" ht="15" hidden="false" customHeight="false" outlineLevel="0" collapsed="false">
      <c r="A124" s="2" t="n">
        <f aca="false">RANK(D124,$D$2:$D$159,0)</f>
        <v>123</v>
      </c>
      <c r="B124" s="2" t="s">
        <v>144</v>
      </c>
      <c r="C124" s="2" t="s">
        <v>91</v>
      </c>
      <c r="D124" s="3" t="n">
        <v>4.507</v>
      </c>
    </row>
    <row r="125" customFormat="false" ht="15" hidden="false" customHeight="false" outlineLevel="0" collapsed="false">
      <c r="A125" s="2" t="n">
        <f aca="false">RANK(D125,$D$2:$D$159,0)</f>
        <v>124</v>
      </c>
      <c r="B125" s="2" t="s">
        <v>145</v>
      </c>
      <c r="C125" s="2" t="s">
        <v>91</v>
      </c>
      <c r="D125" s="3" t="n">
        <v>4.436</v>
      </c>
    </row>
    <row r="126" customFormat="false" ht="15" hidden="false" customHeight="false" outlineLevel="0" collapsed="false">
      <c r="A126" s="2" t="n">
        <f aca="false">RANK(D126,$D$2:$D$159,0)</f>
        <v>125</v>
      </c>
      <c r="B126" s="2" t="s">
        <v>146</v>
      </c>
      <c r="C126" s="2" t="s">
        <v>91</v>
      </c>
      <c r="D126" s="3" t="n">
        <v>4.419</v>
      </c>
    </row>
    <row r="127" customFormat="false" ht="15" hidden="false" customHeight="false" outlineLevel="0" collapsed="false">
      <c r="A127" s="2" t="n">
        <f aca="false">RANK(D127,$D$2:$D$159,0)</f>
        <v>126</v>
      </c>
      <c r="B127" s="2" t="s">
        <v>147</v>
      </c>
      <c r="C127" s="2" t="s">
        <v>91</v>
      </c>
      <c r="D127" s="3" t="n">
        <v>4.369</v>
      </c>
    </row>
    <row r="128" customFormat="false" ht="15" hidden="false" customHeight="false" outlineLevel="0" collapsed="false">
      <c r="A128" s="2" t="n">
        <f aca="false">RANK(D128,$D$2:$D$159,0)</f>
        <v>127</v>
      </c>
      <c r="B128" s="2" t="s">
        <v>148</v>
      </c>
      <c r="C128" s="2" t="s">
        <v>49</v>
      </c>
      <c r="D128" s="3" t="n">
        <v>4.35</v>
      </c>
    </row>
    <row r="129" customFormat="false" ht="15" hidden="false" customHeight="false" outlineLevel="0" collapsed="false">
      <c r="A129" s="2" t="n">
        <f aca="false">RANK(D129,$D$2:$D$159,0)</f>
        <v>128</v>
      </c>
      <c r="B129" s="2" t="s">
        <v>149</v>
      </c>
      <c r="C129" s="2" t="s">
        <v>91</v>
      </c>
      <c r="D129" s="3" t="n">
        <v>4.332</v>
      </c>
    </row>
    <row r="130" customFormat="false" ht="15" hidden="false" customHeight="false" outlineLevel="0" collapsed="false">
      <c r="A130" s="2" t="n">
        <f aca="false">RANK(D130,$D$2:$D$159,0)</f>
        <v>129</v>
      </c>
      <c r="B130" s="2" t="s">
        <v>150</v>
      </c>
      <c r="C130" s="2" t="s">
        <v>41</v>
      </c>
      <c r="D130" s="3" t="n">
        <v>4.307</v>
      </c>
    </row>
    <row r="131" customFormat="false" ht="15" hidden="false" customHeight="false" outlineLevel="0" collapsed="false">
      <c r="A131" s="2" t="n">
        <f aca="false">RANK(D131,$D$2:$D$159,0)</f>
        <v>130</v>
      </c>
      <c r="B131" s="2" t="s">
        <v>151</v>
      </c>
      <c r="C131" s="2" t="s">
        <v>49</v>
      </c>
      <c r="D131" s="3" t="n">
        <v>4.297</v>
      </c>
    </row>
    <row r="132" customFormat="false" ht="15" hidden="false" customHeight="false" outlineLevel="0" collapsed="false">
      <c r="A132" s="2" t="n">
        <f aca="false">RANK(D132,$D$2:$D$159,0)</f>
        <v>131</v>
      </c>
      <c r="B132" s="2" t="s">
        <v>152</v>
      </c>
      <c r="C132" s="2" t="s">
        <v>91</v>
      </c>
      <c r="D132" s="3" t="n">
        <v>4.292</v>
      </c>
    </row>
    <row r="133" customFormat="false" ht="15" hidden="false" customHeight="false" outlineLevel="0" collapsed="false">
      <c r="A133" s="2" t="n">
        <f aca="false">RANK(D133,$D$2:$D$159,0)</f>
        <v>132</v>
      </c>
      <c r="B133" s="2" t="s">
        <v>153</v>
      </c>
      <c r="C133" s="2" t="s">
        <v>100</v>
      </c>
      <c r="D133" s="3" t="n">
        <v>4.271</v>
      </c>
    </row>
    <row r="134" customFormat="false" ht="15" hidden="false" customHeight="false" outlineLevel="0" collapsed="false">
      <c r="A134" s="2" t="n">
        <f aca="false">RANK(D134,$D$2:$D$159,0)</f>
        <v>133</v>
      </c>
      <c r="B134" s="2" t="s">
        <v>154</v>
      </c>
      <c r="C134" s="2" t="s">
        <v>91</v>
      </c>
      <c r="D134" s="3" t="n">
        <v>4.252</v>
      </c>
    </row>
    <row r="135" customFormat="false" ht="15" hidden="false" customHeight="false" outlineLevel="0" collapsed="false">
      <c r="A135" s="2" t="n">
        <f aca="false">RANK(D135,$D$2:$D$159,0)</f>
        <v>134</v>
      </c>
      <c r="B135" s="2" t="s">
        <v>155</v>
      </c>
      <c r="C135" s="2" t="s">
        <v>49</v>
      </c>
      <c r="D135" s="3" t="n">
        <v>4.218</v>
      </c>
    </row>
    <row r="136" customFormat="false" ht="15" hidden="false" customHeight="false" outlineLevel="0" collapsed="false">
      <c r="A136" s="2" t="n">
        <f aca="false">RANK(D136,$D$2:$D$159,0)</f>
        <v>135</v>
      </c>
      <c r="B136" s="2" t="s">
        <v>156</v>
      </c>
      <c r="C136" s="2" t="s">
        <v>26</v>
      </c>
      <c r="D136" s="3" t="n">
        <v>4.194</v>
      </c>
    </row>
    <row r="137" customFormat="false" ht="15" hidden="false" customHeight="false" outlineLevel="0" collapsed="false">
      <c r="A137" s="2" t="n">
        <f aca="false">RANK(D137,$D$2:$D$159,0)</f>
        <v>136</v>
      </c>
      <c r="B137" s="2" t="s">
        <v>157</v>
      </c>
      <c r="C137" s="2" t="s">
        <v>26</v>
      </c>
      <c r="D137" s="3" t="n">
        <v>4.077</v>
      </c>
    </row>
    <row r="138" customFormat="false" ht="15" hidden="false" customHeight="false" outlineLevel="0" collapsed="false">
      <c r="A138" s="2" t="n">
        <f aca="false">RANK(D138,$D$2:$D$159,0)</f>
        <v>137</v>
      </c>
      <c r="B138" s="2" t="s">
        <v>158</v>
      </c>
      <c r="C138" s="2" t="s">
        <v>91</v>
      </c>
      <c r="D138" s="3" t="n">
        <v>4.033</v>
      </c>
    </row>
    <row r="139" customFormat="false" ht="15" hidden="false" customHeight="false" outlineLevel="0" collapsed="false">
      <c r="A139" s="2" t="n">
        <f aca="false">RANK(D139,$D$2:$D$159,0)</f>
        <v>138</v>
      </c>
      <c r="B139" s="2" t="s">
        <v>159</v>
      </c>
      <c r="C139" s="2" t="s">
        <v>91</v>
      </c>
      <c r="D139" s="3" t="n">
        <v>3.995</v>
      </c>
    </row>
    <row r="140" customFormat="false" ht="15" hidden="false" customHeight="false" outlineLevel="0" collapsed="false">
      <c r="A140" s="2" t="n">
        <f aca="false">RANK(D140,$D$2:$D$159,0)</f>
        <v>139</v>
      </c>
      <c r="B140" s="2" t="s">
        <v>160</v>
      </c>
      <c r="C140" s="2" t="s">
        <v>91</v>
      </c>
      <c r="D140" s="3" t="n">
        <v>3.989</v>
      </c>
    </row>
    <row r="141" customFormat="false" ht="15" hidden="false" customHeight="false" outlineLevel="0" collapsed="false">
      <c r="A141" s="2" t="n">
        <f aca="false">RANK(D141,$D$2:$D$159,0)</f>
        <v>140</v>
      </c>
      <c r="B141" s="2" t="s">
        <v>161</v>
      </c>
      <c r="C141" s="2" t="s">
        <v>91</v>
      </c>
      <c r="D141" s="3" t="n">
        <v>3.956</v>
      </c>
    </row>
    <row r="142" customFormat="false" ht="15" hidden="false" customHeight="false" outlineLevel="0" collapsed="false">
      <c r="A142" s="2" t="n">
        <f aca="false">RANK(D142,$D$2:$D$159,0)</f>
        <v>141</v>
      </c>
      <c r="B142" s="2" t="s">
        <v>162</v>
      </c>
      <c r="C142" s="2" t="s">
        <v>91</v>
      </c>
      <c r="D142" s="3" t="n">
        <v>3.931</v>
      </c>
    </row>
    <row r="143" customFormat="false" ht="15" hidden="false" customHeight="false" outlineLevel="0" collapsed="false">
      <c r="A143" s="2" t="n">
        <f aca="false">RANK(D143,$D$2:$D$159,0)</f>
        <v>142</v>
      </c>
      <c r="B143" s="2" t="s">
        <v>163</v>
      </c>
      <c r="C143" s="2" t="s">
        <v>91</v>
      </c>
      <c r="D143" s="3" t="n">
        <v>3.904</v>
      </c>
    </row>
    <row r="144" customFormat="false" ht="15" hidden="false" customHeight="false" outlineLevel="0" collapsed="false">
      <c r="A144" s="2" t="n">
        <f aca="false">RANK(D144,$D$2:$D$159,0)</f>
        <v>143</v>
      </c>
      <c r="B144" s="2" t="s">
        <v>164</v>
      </c>
      <c r="C144" s="2" t="s">
        <v>91</v>
      </c>
      <c r="D144" s="3" t="n">
        <v>3.896</v>
      </c>
    </row>
    <row r="145" customFormat="false" ht="15" hidden="false" customHeight="false" outlineLevel="0" collapsed="false">
      <c r="A145" s="2" t="n">
        <f aca="false">RANK(D145,$D$2:$D$159,0)</f>
        <v>144</v>
      </c>
      <c r="B145" s="2" t="s">
        <v>165</v>
      </c>
      <c r="C145" s="2" t="s">
        <v>91</v>
      </c>
      <c r="D145" s="3" t="n">
        <v>3.845</v>
      </c>
    </row>
    <row r="146" customFormat="false" ht="15" hidden="false" customHeight="false" outlineLevel="0" collapsed="false">
      <c r="A146" s="2" t="n">
        <f aca="false">RANK(D146,$D$2:$D$159,0)</f>
        <v>145</v>
      </c>
      <c r="B146" s="2" t="s">
        <v>166</v>
      </c>
      <c r="C146" s="2" t="s">
        <v>41</v>
      </c>
      <c r="D146" s="3" t="n">
        <v>3.819</v>
      </c>
    </row>
    <row r="147" customFormat="false" ht="15" hidden="false" customHeight="false" outlineLevel="0" collapsed="false">
      <c r="A147" s="2" t="n">
        <f aca="false">RANK(D147,$D$2:$D$159,0)</f>
        <v>146</v>
      </c>
      <c r="B147" s="2" t="s">
        <v>167</v>
      </c>
      <c r="C147" s="2" t="s">
        <v>91</v>
      </c>
      <c r="D147" s="3" t="n">
        <v>3.781</v>
      </c>
    </row>
    <row r="148" customFormat="false" ht="15" hidden="false" customHeight="false" outlineLevel="0" collapsed="false">
      <c r="A148" s="2" t="n">
        <f aca="false">RANK(D148,$D$2:$D$159,0)</f>
        <v>147</v>
      </c>
      <c r="B148" s="2" t="s">
        <v>168</v>
      </c>
      <c r="C148" s="2" t="s">
        <v>91</v>
      </c>
      <c r="D148" s="3" t="n">
        <v>3.681</v>
      </c>
    </row>
    <row r="149" customFormat="false" ht="15" hidden="false" customHeight="false" outlineLevel="0" collapsed="false">
      <c r="A149" s="2" t="n">
        <f aca="false">RANK(D149,$D$2:$D$159,0)</f>
        <v>148</v>
      </c>
      <c r="B149" s="2" t="s">
        <v>169</v>
      </c>
      <c r="C149" s="2" t="s">
        <v>91</v>
      </c>
      <c r="D149" s="3" t="n">
        <v>3.678</v>
      </c>
    </row>
    <row r="150" customFormat="false" ht="15" hidden="false" customHeight="false" outlineLevel="0" collapsed="false">
      <c r="A150" s="2" t="n">
        <f aca="false">RANK(D150,$D$2:$D$159,0)</f>
        <v>149</v>
      </c>
      <c r="B150" s="2" t="s">
        <v>170</v>
      </c>
      <c r="C150" s="2" t="s">
        <v>91</v>
      </c>
      <c r="D150" s="3" t="n">
        <v>3.667</v>
      </c>
    </row>
    <row r="151" customFormat="false" ht="15" hidden="false" customHeight="false" outlineLevel="0" collapsed="false">
      <c r="A151" s="2" t="n">
        <f aca="false">RANK(D151,$D$2:$D$159,0)</f>
        <v>150</v>
      </c>
      <c r="B151" s="2" t="s">
        <v>171</v>
      </c>
      <c r="C151" s="2" t="s">
        <v>91</v>
      </c>
      <c r="D151" s="3" t="n">
        <v>3.656</v>
      </c>
    </row>
    <row r="152" customFormat="false" ht="15" hidden="false" customHeight="false" outlineLevel="0" collapsed="false">
      <c r="A152" s="2" t="n">
        <f aca="false">RANK(D152,$D$2:$D$159,0)</f>
        <v>151</v>
      </c>
      <c r="B152" s="2" t="s">
        <v>172</v>
      </c>
      <c r="C152" s="2" t="s">
        <v>91</v>
      </c>
      <c r="D152" s="3" t="n">
        <v>3.655</v>
      </c>
    </row>
    <row r="153" customFormat="false" ht="15" hidden="false" customHeight="false" outlineLevel="0" collapsed="false">
      <c r="A153" s="2" t="n">
        <f aca="false">RANK(D153,$D$2:$D$159,0)</f>
        <v>152</v>
      </c>
      <c r="B153" s="2" t="s">
        <v>173</v>
      </c>
      <c r="C153" s="2" t="s">
        <v>91</v>
      </c>
      <c r="D153" s="3" t="n">
        <v>3.587</v>
      </c>
    </row>
    <row r="154" customFormat="false" ht="15" hidden="false" customHeight="false" outlineLevel="0" collapsed="false">
      <c r="A154" s="2" t="n">
        <f aca="false">RANK(D154,$D$2:$D$159,0)</f>
        <v>153</v>
      </c>
      <c r="B154" s="2" t="s">
        <v>174</v>
      </c>
      <c r="C154" s="2" t="s">
        <v>100</v>
      </c>
      <c r="D154" s="3" t="n">
        <v>3.575</v>
      </c>
    </row>
    <row r="155" customFormat="false" ht="15" hidden="false" customHeight="false" outlineLevel="0" collapsed="false">
      <c r="A155" s="2" t="n">
        <f aca="false">RANK(D155,$D$2:$D$159,0)</f>
        <v>154</v>
      </c>
      <c r="B155" s="2" t="s">
        <v>175</v>
      </c>
      <c r="C155" s="2" t="s">
        <v>91</v>
      </c>
      <c r="D155" s="3" t="n">
        <v>3.465</v>
      </c>
    </row>
    <row r="156" customFormat="false" ht="15" hidden="false" customHeight="false" outlineLevel="0" collapsed="false">
      <c r="A156" s="2" t="n">
        <f aca="false">RANK(D156,$D$2:$D$159,0)</f>
        <v>155</v>
      </c>
      <c r="B156" s="2" t="s">
        <v>176</v>
      </c>
      <c r="C156" s="2" t="s">
        <v>91</v>
      </c>
      <c r="D156" s="3" t="n">
        <v>3.34</v>
      </c>
    </row>
    <row r="157" customFormat="false" ht="15" hidden="false" customHeight="false" outlineLevel="0" collapsed="false">
      <c r="A157" s="2" t="n">
        <f aca="false">RANK(D157,$D$2:$D$159,0)</f>
        <v>156</v>
      </c>
      <c r="B157" s="2" t="s">
        <v>177</v>
      </c>
      <c r="C157" s="2" t="s">
        <v>26</v>
      </c>
      <c r="D157" s="3" t="n">
        <v>3.006</v>
      </c>
    </row>
    <row r="158" customFormat="false" ht="15" hidden="false" customHeight="false" outlineLevel="0" collapsed="false">
      <c r="A158" s="2" t="n">
        <f aca="false">RANK(D158,$D$2:$D$159,0)</f>
        <v>157</v>
      </c>
      <c r="B158" s="2" t="s">
        <v>178</v>
      </c>
      <c r="C158" s="2" t="s">
        <v>91</v>
      </c>
      <c r="D158" s="3" t="n">
        <v>2.905</v>
      </c>
    </row>
    <row r="159" customFormat="false" ht="15" hidden="false" customHeight="false" outlineLevel="0" collapsed="false">
      <c r="A159" s="2" t="n">
        <f aca="false">RANK(D159,$D$2:$D$159,0)</f>
        <v>158</v>
      </c>
      <c r="B159" s="2" t="s">
        <v>179</v>
      </c>
      <c r="C159" s="2" t="s">
        <v>91</v>
      </c>
      <c r="D159" s="3" t="n">
        <v>2.839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31.5" hidden="false" customHeight="true" outlineLevel="0" collapsed="false">
      <c r="A1" s="1" t="s">
        <v>182</v>
      </c>
      <c r="B1" s="1" t="s">
        <v>184</v>
      </c>
      <c r="C1" s="1" t="s">
        <v>185</v>
      </c>
    </row>
    <row r="2" customFormat="false" ht="15" hidden="false" customHeight="false" outlineLevel="0" collapsed="false">
      <c r="A2" s="2" t="s">
        <v>23</v>
      </c>
      <c r="B2" s="3" t="n">
        <f aca="false">AVERAGEIF(Veri!$B$2:$B$159,A2,Veri!$D$2:$D$159)</f>
        <v>7.285</v>
      </c>
      <c r="C2" s="2" t="n">
        <f aca="false">COUNTIF(Veri!$B$2:$B$159,A2)</f>
        <v>2</v>
      </c>
    </row>
    <row r="3" customFormat="false" ht="15" hidden="false" customHeight="false" outlineLevel="0" collapsed="false">
      <c r="A3" s="2" t="s">
        <v>18</v>
      </c>
      <c r="B3" s="3" t="n">
        <f aca="false">AVERAGEIF(Veri!$B$2:$B$159,A3,Veri!$D$2:$D$159)</f>
        <v>7.273</v>
      </c>
      <c r="C3" s="2" t="n">
        <f aca="false">COUNTIF(Veri!$B$2:$B$159,A3)</f>
        <v>2</v>
      </c>
    </row>
    <row r="4" customFormat="false" ht="15" hidden="false" customHeight="false" outlineLevel="0" collapsed="false">
      <c r="A4" s="2" t="s">
        <v>13</v>
      </c>
      <c r="B4" s="3" t="n">
        <f aca="false">AVERAGEIF(Veri!$B$2:$B$159,A4,Veri!$D$2:$D$159)</f>
        <v>6.68961904761905</v>
      </c>
      <c r="C4" s="2" t="n">
        <f aca="false">COUNTIF(Veri!$B$2:$B$159,A4)</f>
        <v>21</v>
      </c>
    </row>
    <row r="5" customFormat="false" ht="15" hidden="false" customHeight="false" outlineLevel="0" collapsed="false">
      <c r="A5" s="2" t="s">
        <v>28</v>
      </c>
      <c r="B5" s="3" t="n">
        <f aca="false">AVERAGEIF(Veri!$B$2:$B$159,A5,Veri!$D$2:$D$159)</f>
        <v>6.14468181818182</v>
      </c>
      <c r="C5" s="2" t="n">
        <f aca="false">COUNTIF(Veri!$B$2:$B$159,A5)</f>
        <v>22</v>
      </c>
    </row>
    <row r="6" customFormat="false" ht="15" hidden="false" customHeight="false" outlineLevel="0" collapsed="false">
      <c r="A6" s="2" t="s">
        <v>57</v>
      </c>
      <c r="B6" s="3" t="n">
        <f aca="false">AVERAGEIF(Veri!$B$2:$B$159,A6,Veri!$D$2:$D$159)</f>
        <v>5.62616666666667</v>
      </c>
      <c r="C6" s="2" t="n">
        <f aca="false">COUNTIF(Veri!$B$2:$B$159,A6)</f>
        <v>6</v>
      </c>
    </row>
    <row r="7" customFormat="false" ht="15" hidden="false" customHeight="false" outlineLevel="0" collapsed="false">
      <c r="A7" s="2" t="s">
        <v>26</v>
      </c>
      <c r="B7" s="3" t="n">
        <f aca="false">AVERAGEIF(Veri!$B$2:$B$159,A7,Veri!$D$2:$D$159)</f>
        <v>5.4069</v>
      </c>
      <c r="C7" s="2" t="n">
        <f aca="false">COUNTIF(Veri!$B$2:$B$159,A7)</f>
        <v>20</v>
      </c>
    </row>
    <row r="8" customFormat="false" ht="15" hidden="false" customHeight="false" outlineLevel="0" collapsed="false">
      <c r="A8" s="2" t="s">
        <v>49</v>
      </c>
      <c r="B8" s="3" t="n">
        <f aca="false">AVERAGEIF(Veri!$B$2:$B$159,A8,Veri!$D$2:$D$159)</f>
        <v>5.33293103448276</v>
      </c>
      <c r="C8" s="2" t="n">
        <f aca="false">COUNTIF(Veri!$B$2:$B$159,A8)</f>
        <v>29</v>
      </c>
    </row>
    <row r="9" customFormat="false" ht="15" hidden="false" customHeight="false" outlineLevel="0" collapsed="false">
      <c r="A9" s="2" t="s">
        <v>41</v>
      </c>
      <c r="B9" s="3" t="n">
        <f aca="false">AVERAGEIF(Veri!$B$2:$B$159,A9,Veri!$D$2:$D$159)</f>
        <v>5.31744444444444</v>
      </c>
      <c r="C9" s="2" t="n">
        <f aca="false">COUNTIF(Veri!$B$2:$B$159,A9)</f>
        <v>9</v>
      </c>
    </row>
    <row r="10" customFormat="false" ht="15" hidden="false" customHeight="false" outlineLevel="0" collapsed="false">
      <c r="A10" s="2" t="s">
        <v>100</v>
      </c>
      <c r="B10" s="3" t="n">
        <f aca="false">AVERAGEIF(Veri!$B$2:$B$159,A10,Veri!$D$2:$D$159)</f>
        <v>4.58085714285714</v>
      </c>
      <c r="C10" s="2" t="n">
        <f aca="false">COUNTIF(Veri!$B$2:$B$159,A10)</f>
        <v>7</v>
      </c>
    </row>
    <row r="11" customFormat="false" ht="15" hidden="false" customHeight="false" outlineLevel="0" collapsed="false">
      <c r="A11" s="2" t="s">
        <v>91</v>
      </c>
      <c r="B11" s="3" t="n">
        <f aca="false">AVERAGEIF(Veri!$B$2:$B$159,A11,Veri!$D$2:$D$159)</f>
        <v>4.2028</v>
      </c>
      <c r="C11" s="2" t="n">
        <f aca="false">COUNTIF(Veri!$B$2:$B$159,A11)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0"/>
    <col collapsed="false" customWidth="true" hidden="false" outlineLevel="0" max="9" min="7" style="0" width="14"/>
  </cols>
  <sheetData>
    <row r="1" customFormat="false" ht="45" hidden="false" customHeight="true" outlineLevel="0" collapsed="false">
      <c r="A1" s="1" t="s">
        <v>181</v>
      </c>
      <c r="B1" s="1" t="s">
        <v>186</v>
      </c>
      <c r="C1" s="1" t="s">
        <v>187</v>
      </c>
      <c r="D1" s="1" t="s">
        <v>188</v>
      </c>
      <c r="E1" s="1" t="s">
        <v>189</v>
      </c>
    </row>
    <row r="2" customFormat="false" ht="15" hidden="false" customHeight="false" outlineLevel="0" collapsed="false">
      <c r="A2" s="2" t="str">
        <f aca="false">Veri!A2</f>
        <v>Switzerland</v>
      </c>
      <c r="B2" s="4" t="n">
        <f aca="false">Veri!F2</f>
        <v>1.39651</v>
      </c>
      <c r="C2" s="4" t="n">
        <f aca="false">(B2-$H$3)/($H$4-$H$3)</f>
        <v>0.826131967203417</v>
      </c>
      <c r="D2" s="4" t="n">
        <f aca="false">Veri!H2</f>
        <v>0.94143</v>
      </c>
      <c r="E2" s="4" t="n">
        <f aca="false">(D2-$I$3)/($I$4-$I$3)</f>
        <v>0.918244330651061</v>
      </c>
      <c r="H2" s="5" t="s">
        <v>190</v>
      </c>
      <c r="I2" s="5" t="s">
        <v>191</v>
      </c>
    </row>
    <row r="3" customFormat="false" ht="15" hidden="false" customHeight="false" outlineLevel="0" collapsed="false">
      <c r="A3" s="2" t="str">
        <f aca="false">Veri!A3</f>
        <v>Iceland</v>
      </c>
      <c r="B3" s="4" t="n">
        <f aca="false">Veri!F3</f>
        <v>1.30232</v>
      </c>
      <c r="C3" s="4" t="n">
        <f aca="false">(B3-$H$3)/($H$4-$H$3)</f>
        <v>0.770412086936974</v>
      </c>
      <c r="D3" s="4" t="n">
        <f aca="false">Veri!H3</f>
        <v>0.94784</v>
      </c>
      <c r="E3" s="4" t="n">
        <f aca="false">(D3-$I$3)/($I$4-$I$3)</f>
        <v>0.924496464277006</v>
      </c>
      <c r="G3" s="2" t="s">
        <v>192</v>
      </c>
      <c r="H3" s="4" t="n">
        <f aca="false">MIN(B2:B159)</f>
        <v>0</v>
      </c>
      <c r="I3" s="4" t="n">
        <f aca="false">MIN(D2:D159)</f>
        <v>0</v>
      </c>
    </row>
    <row r="4" customFormat="false" ht="15" hidden="false" customHeight="false" outlineLevel="0" collapsed="false">
      <c r="A4" s="2" t="str">
        <f aca="false">Veri!A4</f>
        <v>Denmark</v>
      </c>
      <c r="B4" s="4" t="n">
        <f aca="false">Veri!F4</f>
        <v>1.32548</v>
      </c>
      <c r="C4" s="4" t="n">
        <f aca="false">(B4-$H$3)/($H$4-$H$3)</f>
        <v>0.784112824031897</v>
      </c>
      <c r="D4" s="4" t="n">
        <f aca="false">Veri!H4</f>
        <v>0.87464</v>
      </c>
      <c r="E4" s="4" t="n">
        <f aca="false">(D4-$I$3)/($I$4-$I$3)</f>
        <v>0.853099244086808</v>
      </c>
      <c r="G4" s="2" t="s">
        <v>193</v>
      </c>
      <c r="H4" s="4" t="n">
        <f aca="false">MAX(B2:B159)</f>
        <v>1.69042</v>
      </c>
      <c r="I4" s="4" t="n">
        <f aca="false">MAX(D2:D159)</f>
        <v>1.02525</v>
      </c>
    </row>
    <row r="5" customFormat="false" ht="15" hidden="false" customHeight="false" outlineLevel="0" collapsed="false">
      <c r="A5" s="2" t="str">
        <f aca="false">Veri!A5</f>
        <v>Norway</v>
      </c>
      <c r="B5" s="4" t="n">
        <f aca="false">Veri!F5</f>
        <v>1.459</v>
      </c>
      <c r="C5" s="4" t="n">
        <f aca="false">(B5-$H$3)/($H$4-$H$3)</f>
        <v>0.863099111463423</v>
      </c>
      <c r="D5" s="4" t="n">
        <f aca="false">Veri!H5</f>
        <v>0.88521</v>
      </c>
      <c r="E5" s="4" t="n">
        <f aca="false">(D5-$I$3)/($I$4-$I$3)</f>
        <v>0.863408924652524</v>
      </c>
    </row>
    <row r="6" customFormat="false" ht="15" hidden="false" customHeight="false" outlineLevel="0" collapsed="false">
      <c r="A6" s="2" t="str">
        <f aca="false">Veri!A6</f>
        <v>Canada</v>
      </c>
      <c r="B6" s="4" t="n">
        <f aca="false">Veri!F6</f>
        <v>1.32629</v>
      </c>
      <c r="C6" s="4" t="n">
        <f aca="false">(B6-$H$3)/($H$4-$H$3)</f>
        <v>0.784591994888844</v>
      </c>
      <c r="D6" s="4" t="n">
        <f aca="false">Veri!H6</f>
        <v>0.90563</v>
      </c>
      <c r="E6" s="4" t="n">
        <f aca="false">(D6-$I$3)/($I$4-$I$3)</f>
        <v>0.88332601804438</v>
      </c>
      <c r="G6" s="6" t="s">
        <v>194</v>
      </c>
    </row>
    <row r="7" customFormat="false" ht="15" hidden="false" customHeight="false" outlineLevel="0" collapsed="false">
      <c r="A7" s="2" t="str">
        <f aca="false">Veri!A7</f>
        <v>Finland</v>
      </c>
      <c r="B7" s="4" t="n">
        <f aca="false">Veri!F7</f>
        <v>1.29025</v>
      </c>
      <c r="C7" s="4" t="n">
        <f aca="false">(B7-$H$3)/($H$4-$H$3)</f>
        <v>0.763271849599508</v>
      </c>
      <c r="D7" s="4" t="n">
        <f aca="false">Veri!H7</f>
        <v>0.88911</v>
      </c>
      <c r="E7" s="4" t="n">
        <f aca="false">(D7-$I$3)/($I$4-$I$3)</f>
        <v>0.867212874908559</v>
      </c>
    </row>
    <row r="8" customFormat="false" ht="15" hidden="false" customHeight="false" outlineLevel="0" collapsed="false">
      <c r="A8" s="2" t="str">
        <f aca="false">Veri!A8</f>
        <v>Netherlands</v>
      </c>
      <c r="B8" s="4" t="n">
        <f aca="false">Veri!F8</f>
        <v>1.32944</v>
      </c>
      <c r="C8" s="4" t="n">
        <f aca="false">(B8-$H$3)/($H$4-$H$3)</f>
        <v>0.786455437110304</v>
      </c>
      <c r="D8" s="4" t="n">
        <f aca="false">Veri!H8</f>
        <v>0.89284</v>
      </c>
      <c r="E8" s="4" t="n">
        <f aca="false">(D8-$I$3)/($I$4-$I$3)</f>
        <v>0.870851011948305</v>
      </c>
    </row>
    <row r="9" customFormat="false" ht="15" hidden="false" customHeight="false" outlineLevel="0" collapsed="false">
      <c r="A9" s="2" t="str">
        <f aca="false">Veri!A9</f>
        <v>Sweden</v>
      </c>
      <c r="B9" s="4" t="n">
        <f aca="false">Veri!F9</f>
        <v>1.33171</v>
      </c>
      <c r="C9" s="4" t="n">
        <f aca="false">(B9-$H$3)/($H$4-$H$3)</f>
        <v>0.787798298647673</v>
      </c>
      <c r="D9" s="4" t="n">
        <f aca="false">Veri!H9</f>
        <v>0.91087</v>
      </c>
      <c r="E9" s="4" t="n">
        <f aca="false">(D9-$I$3)/($I$4-$I$3)</f>
        <v>0.888436966593514</v>
      </c>
    </row>
    <row r="10" customFormat="false" ht="15" hidden="false" customHeight="false" outlineLevel="0" collapsed="false">
      <c r="A10" s="2" t="str">
        <f aca="false">Veri!A10</f>
        <v>New Zealand</v>
      </c>
      <c r="B10" s="4" t="n">
        <f aca="false">Veri!F10</f>
        <v>1.25018</v>
      </c>
      <c r="C10" s="4" t="n">
        <f aca="false">(B10-$H$3)/($H$4-$H$3)</f>
        <v>0.739567681404621</v>
      </c>
      <c r="D10" s="4" t="n">
        <f aca="false">Veri!H10</f>
        <v>0.90837</v>
      </c>
      <c r="E10" s="4" t="n">
        <f aca="false">(D10-$I$3)/($I$4-$I$3)</f>
        <v>0.885998536942209</v>
      </c>
    </row>
    <row r="11" customFormat="false" ht="15" hidden="false" customHeight="false" outlineLevel="0" collapsed="false">
      <c r="A11" s="2" t="str">
        <f aca="false">Veri!A11</f>
        <v>Australia</v>
      </c>
      <c r="B11" s="4" t="n">
        <f aca="false">Veri!F11</f>
        <v>1.33358</v>
      </c>
      <c r="C11" s="4" t="n">
        <f aca="false">(B11-$H$3)/($H$4-$H$3)</f>
        <v>0.788904532601365</v>
      </c>
      <c r="D11" s="4" t="n">
        <f aca="false">Veri!H11</f>
        <v>0.93156</v>
      </c>
      <c r="E11" s="4" t="n">
        <f aca="false">(D11-$I$3)/($I$4-$I$3)</f>
        <v>0.90861741038771</v>
      </c>
    </row>
    <row r="12" customFormat="false" ht="15" hidden="false" customHeight="false" outlineLevel="0" collapsed="false">
      <c r="A12" s="2" t="str">
        <f aca="false">Veri!A12</f>
        <v>Israel</v>
      </c>
      <c r="B12" s="4" t="n">
        <f aca="false">Veri!F12</f>
        <v>1.22857</v>
      </c>
      <c r="C12" s="4" t="n">
        <f aca="false">(B12-$H$3)/($H$4-$H$3)</f>
        <v>0.726783876196448</v>
      </c>
      <c r="D12" s="4" t="n">
        <f aca="false">Veri!H12</f>
        <v>0.91387</v>
      </c>
      <c r="E12" s="4" t="n">
        <f aca="false">(D12-$I$3)/($I$4-$I$3)</f>
        <v>0.891363082175079</v>
      </c>
    </row>
    <row r="13" customFormat="false" ht="15" hidden="false" customHeight="false" outlineLevel="0" collapsed="false">
      <c r="A13" s="2" t="str">
        <f aca="false">Veri!A13</f>
        <v>Costa Rica</v>
      </c>
      <c r="B13" s="4" t="n">
        <f aca="false">Veri!F13</f>
        <v>0.95578</v>
      </c>
      <c r="C13" s="4" t="n">
        <f aca="false">(B13-$H$3)/($H$4-$H$3)</f>
        <v>0.565409779818033</v>
      </c>
      <c r="D13" s="4" t="n">
        <f aca="false">Veri!H13</f>
        <v>0.86027</v>
      </c>
      <c r="E13" s="4" t="n">
        <f aca="false">(D13-$I$3)/($I$4-$I$3)</f>
        <v>0.83908315045111</v>
      </c>
    </row>
    <row r="14" customFormat="false" ht="15" hidden="false" customHeight="false" outlineLevel="0" collapsed="false">
      <c r="A14" s="2" t="str">
        <f aca="false">Veri!A14</f>
        <v>Austria</v>
      </c>
      <c r="B14" s="4" t="n">
        <f aca="false">Veri!F14</f>
        <v>1.33723</v>
      </c>
      <c r="C14" s="4" t="n">
        <f aca="false">(B14-$H$3)/($H$4-$H$3)</f>
        <v>0.791063759302422</v>
      </c>
      <c r="D14" s="4" t="n">
        <f aca="false">Veri!H14</f>
        <v>0.89042</v>
      </c>
      <c r="E14" s="4" t="n">
        <f aca="false">(D14-$I$3)/($I$4-$I$3)</f>
        <v>0.868490612045842</v>
      </c>
    </row>
    <row r="15" customFormat="false" ht="15" hidden="false" customHeight="false" outlineLevel="0" collapsed="false">
      <c r="A15" s="2" t="str">
        <f aca="false">Veri!A15</f>
        <v>Mexico</v>
      </c>
      <c r="B15" s="4" t="n">
        <f aca="false">Veri!F15</f>
        <v>1.02054</v>
      </c>
      <c r="C15" s="4" t="n">
        <f aca="false">(B15-$H$3)/($H$4-$H$3)</f>
        <v>0.603719785615409</v>
      </c>
      <c r="D15" s="4" t="n">
        <f aca="false">Veri!H15</f>
        <v>0.81444</v>
      </c>
      <c r="E15" s="4" t="n">
        <f aca="false">(D15-$I$3)/($I$4-$I$3)</f>
        <v>0.794381858083394</v>
      </c>
    </row>
    <row r="16" customFormat="false" ht="15" hidden="false" customHeight="false" outlineLevel="0" collapsed="false">
      <c r="A16" s="2" t="str">
        <f aca="false">Veri!A16</f>
        <v>United States</v>
      </c>
      <c r="B16" s="4" t="n">
        <f aca="false">Veri!F16</f>
        <v>1.39451</v>
      </c>
      <c r="C16" s="4" t="n">
        <f aca="false">(B16-$H$3)/($H$4-$H$3)</f>
        <v>0.82494882928503</v>
      </c>
      <c r="D16" s="4" t="n">
        <f aca="false">Veri!H16</f>
        <v>0.86179</v>
      </c>
      <c r="E16" s="4" t="n">
        <f aca="false">(D16-$I$3)/($I$4-$I$3)</f>
        <v>0.840565715679103</v>
      </c>
    </row>
    <row r="17" customFormat="false" ht="15" hidden="false" customHeight="false" outlineLevel="0" collapsed="false">
      <c r="A17" s="2" t="str">
        <f aca="false">Veri!A17</f>
        <v>Brazil</v>
      </c>
      <c r="B17" s="4" t="n">
        <f aca="false">Veri!F17</f>
        <v>0.98124</v>
      </c>
      <c r="C17" s="4" t="n">
        <f aca="false">(B17-$H$3)/($H$4-$H$3)</f>
        <v>0.580471125519102</v>
      </c>
      <c r="D17" s="4" t="n">
        <f aca="false">Veri!H17</f>
        <v>0.69702</v>
      </c>
      <c r="E17" s="4" t="n">
        <f aca="false">(D17-$I$3)/($I$4-$I$3)</f>
        <v>0.679853694220922</v>
      </c>
    </row>
    <row r="18" customFormat="false" ht="15" hidden="false" customHeight="false" outlineLevel="0" collapsed="false">
      <c r="A18" s="2" t="str">
        <f aca="false">Veri!A18</f>
        <v>Luxembourg</v>
      </c>
      <c r="B18" s="4" t="n">
        <f aca="false">Veri!F18</f>
        <v>1.56391</v>
      </c>
      <c r="C18" s="4" t="n">
        <f aca="false">(B18-$H$3)/($H$4-$H$3)</f>
        <v>0.925160610972421</v>
      </c>
      <c r="D18" s="4" t="n">
        <f aca="false">Veri!H18</f>
        <v>0.91894</v>
      </c>
      <c r="E18" s="4" t="n">
        <f aca="false">(D18-$I$3)/($I$4-$I$3)</f>
        <v>0.896308217507925</v>
      </c>
    </row>
    <row r="19" customFormat="false" ht="15" hidden="false" customHeight="false" outlineLevel="0" collapsed="false">
      <c r="A19" s="2" t="str">
        <f aca="false">Veri!A19</f>
        <v>Ireland</v>
      </c>
      <c r="B19" s="4" t="n">
        <f aca="false">Veri!F19</f>
        <v>1.33596</v>
      </c>
      <c r="C19" s="4" t="n">
        <f aca="false">(B19-$H$3)/($H$4-$H$3)</f>
        <v>0.790312466724246</v>
      </c>
      <c r="D19" s="4" t="n">
        <f aca="false">Veri!H19</f>
        <v>0.89533</v>
      </c>
      <c r="E19" s="4" t="n">
        <f aca="false">(D19-$I$3)/($I$4-$I$3)</f>
        <v>0.873279687881005</v>
      </c>
    </row>
    <row r="20" customFormat="false" ht="15" hidden="false" customHeight="false" outlineLevel="0" collapsed="false">
      <c r="A20" s="2" t="str">
        <f aca="false">Veri!A20</f>
        <v>Belgium</v>
      </c>
      <c r="B20" s="4" t="n">
        <f aca="false">Veri!F20</f>
        <v>1.30782</v>
      </c>
      <c r="C20" s="4" t="n">
        <f aca="false">(B20-$H$3)/($H$4-$H$3)</f>
        <v>0.773665716212539</v>
      </c>
      <c r="D20" s="4" t="n">
        <f aca="false">Veri!H20</f>
        <v>0.89667</v>
      </c>
      <c r="E20" s="4" t="n">
        <f aca="false">(D20-$I$3)/($I$4-$I$3)</f>
        <v>0.874586686174104</v>
      </c>
    </row>
    <row r="21" customFormat="false" ht="15" hidden="false" customHeight="false" outlineLevel="0" collapsed="false">
      <c r="A21" s="2" t="str">
        <f aca="false">Veri!A21</f>
        <v>United Arab Emirates</v>
      </c>
      <c r="B21" s="4" t="n">
        <f aca="false">Veri!F21</f>
        <v>1.42727</v>
      </c>
      <c r="C21" s="4" t="n">
        <f aca="false">(B21-$H$3)/($H$4-$H$3)</f>
        <v>0.844328628388211</v>
      </c>
      <c r="D21" s="4" t="n">
        <f aca="false">Veri!H21</f>
        <v>0.80925</v>
      </c>
      <c r="E21" s="4" t="n">
        <f aca="false">(D21-$I$3)/($I$4-$I$3)</f>
        <v>0.789319678127286</v>
      </c>
    </row>
    <row r="22" customFormat="false" ht="15" hidden="false" customHeight="false" outlineLevel="0" collapsed="false">
      <c r="A22" s="2" t="str">
        <f aca="false">Veri!A22</f>
        <v>United Kingdom</v>
      </c>
      <c r="B22" s="4" t="n">
        <f aca="false">Veri!F22</f>
        <v>1.26637</v>
      </c>
      <c r="C22" s="4" t="n">
        <f aca="false">(B22-$H$3)/($H$4-$H$3)</f>
        <v>0.749145182853965</v>
      </c>
      <c r="D22" s="4" t="n">
        <f aca="false">Veri!H22</f>
        <v>0.90943</v>
      </c>
      <c r="E22" s="4" t="n">
        <f aca="false">(D22-$I$3)/($I$4-$I$3)</f>
        <v>0.887032431114362</v>
      </c>
    </row>
    <row r="23" customFormat="false" ht="15" hidden="false" customHeight="false" outlineLevel="0" collapsed="false">
      <c r="A23" s="2" t="str">
        <f aca="false">Veri!A23</f>
        <v>Oman</v>
      </c>
      <c r="B23" s="4" t="n">
        <f aca="false">Veri!F23</f>
        <v>1.36011</v>
      </c>
      <c r="C23" s="4" t="n">
        <f aca="false">(B23-$H$3)/($H$4-$H$3)</f>
        <v>0.804598857088771</v>
      </c>
      <c r="D23" s="4" t="n">
        <f aca="false">Veri!H23</f>
        <v>0.76276</v>
      </c>
      <c r="E23" s="4" t="n">
        <f aca="false">(D23-$I$3)/($I$4-$I$3)</f>
        <v>0.743974640331626</v>
      </c>
    </row>
    <row r="24" customFormat="false" ht="15" hidden="false" customHeight="false" outlineLevel="0" collapsed="false">
      <c r="A24" s="2" t="str">
        <f aca="false">Veri!A24</f>
        <v>Venezuela</v>
      </c>
      <c r="B24" s="4" t="n">
        <f aca="false">Veri!F24</f>
        <v>1.04424</v>
      </c>
      <c r="C24" s="4" t="n">
        <f aca="false">(B24-$H$3)/($H$4-$H$3)</f>
        <v>0.617739969948297</v>
      </c>
      <c r="D24" s="4" t="n">
        <f aca="false">Veri!H24</f>
        <v>0.72052</v>
      </c>
      <c r="E24" s="4" t="n">
        <f aca="false">(D24-$I$3)/($I$4-$I$3)</f>
        <v>0.702774932943185</v>
      </c>
    </row>
    <row r="25" customFormat="false" ht="15" hidden="false" customHeight="false" outlineLevel="0" collapsed="false">
      <c r="A25" s="2" t="str">
        <f aca="false">Veri!A25</f>
        <v>Singapore</v>
      </c>
      <c r="B25" s="4" t="n">
        <f aca="false">Veri!F25</f>
        <v>1.52186</v>
      </c>
      <c r="C25" s="4" t="n">
        <f aca="false">(B25-$H$3)/($H$4-$H$3)</f>
        <v>0.900285136238331</v>
      </c>
      <c r="D25" s="4" t="n">
        <f aca="false">Veri!H25</f>
        <v>1.02525</v>
      </c>
      <c r="E25" s="4" t="n">
        <f aca="false">(D25-$I$3)/($I$4-$I$3)</f>
        <v>1</v>
      </c>
    </row>
    <row r="26" customFormat="false" ht="15" hidden="false" customHeight="false" outlineLevel="0" collapsed="false">
      <c r="A26" s="2" t="str">
        <f aca="false">Veri!A26</f>
        <v>Panama</v>
      </c>
      <c r="B26" s="4" t="n">
        <f aca="false">Veri!F26</f>
        <v>1.06353</v>
      </c>
      <c r="C26" s="4" t="n">
        <f aca="false">(B26-$H$3)/($H$4-$H$3)</f>
        <v>0.629151335171141</v>
      </c>
      <c r="D26" s="4" t="n">
        <f aca="false">Veri!H26</f>
        <v>0.79661</v>
      </c>
      <c r="E26" s="4" t="n">
        <f aca="false">(D26-$I$3)/($I$4-$I$3)</f>
        <v>0.77699097781029</v>
      </c>
    </row>
    <row r="27" customFormat="false" ht="15" hidden="false" customHeight="false" outlineLevel="0" collapsed="false">
      <c r="A27" s="2" t="str">
        <f aca="false">Veri!A27</f>
        <v>Germany</v>
      </c>
      <c r="B27" s="4" t="n">
        <f aca="false">Veri!F27</f>
        <v>1.32792</v>
      </c>
      <c r="C27" s="4" t="n">
        <f aca="false">(B27-$H$3)/($H$4-$H$3)</f>
        <v>0.78555625229233</v>
      </c>
      <c r="D27" s="4" t="n">
        <f aca="false">Veri!H27</f>
        <v>0.89186</v>
      </c>
      <c r="E27" s="4" t="n">
        <f aca="false">(D27-$I$3)/($I$4-$I$3)</f>
        <v>0.869895147524994</v>
      </c>
    </row>
    <row r="28" customFormat="false" ht="15" hidden="false" customHeight="false" outlineLevel="0" collapsed="false">
      <c r="A28" s="2" t="str">
        <f aca="false">Veri!A28</f>
        <v>Chile</v>
      </c>
      <c r="B28" s="4" t="n">
        <f aca="false">Veri!F28</f>
        <v>1.10715</v>
      </c>
      <c r="C28" s="4" t="n">
        <f aca="false">(B28-$H$3)/($H$4-$H$3)</f>
        <v>0.654955573171165</v>
      </c>
      <c r="D28" s="4" t="n">
        <f aca="false">Veri!H28</f>
        <v>0.85857</v>
      </c>
      <c r="E28" s="4" t="n">
        <f aca="false">(D28-$I$3)/($I$4-$I$3)</f>
        <v>0.837425018288223</v>
      </c>
    </row>
    <row r="29" customFormat="false" ht="15" hidden="false" customHeight="false" outlineLevel="0" collapsed="false">
      <c r="A29" s="2" t="str">
        <f aca="false">Veri!A29</f>
        <v>Qatar</v>
      </c>
      <c r="B29" s="4" t="n">
        <f aca="false">Veri!F29</f>
        <v>1.69042</v>
      </c>
      <c r="C29" s="4" t="n">
        <f aca="false">(B29-$H$3)/($H$4-$H$3)</f>
        <v>1</v>
      </c>
      <c r="D29" s="4" t="n">
        <f aca="false">Veri!H29</f>
        <v>0.79733</v>
      </c>
      <c r="E29" s="4" t="n">
        <f aca="false">(D29-$I$3)/($I$4-$I$3)</f>
        <v>0.777693245549866</v>
      </c>
    </row>
    <row r="30" customFormat="false" ht="15" hidden="false" customHeight="false" outlineLevel="0" collapsed="false">
      <c r="A30" s="2" t="str">
        <f aca="false">Veri!A30</f>
        <v>France</v>
      </c>
      <c r="B30" s="4" t="n">
        <f aca="false">Veri!F30</f>
        <v>1.27778</v>
      </c>
      <c r="C30" s="4" t="n">
        <f aca="false">(B30-$H$3)/($H$4-$H$3)</f>
        <v>0.755894984678364</v>
      </c>
      <c r="D30" s="4" t="n">
        <f aca="false">Veri!H30</f>
        <v>0.94579</v>
      </c>
      <c r="E30" s="4" t="n">
        <f aca="false">(D30-$I$3)/($I$4-$I$3)</f>
        <v>0.922496951962936</v>
      </c>
    </row>
    <row r="31" customFormat="false" ht="15" hidden="false" customHeight="false" outlineLevel="0" collapsed="false">
      <c r="A31" s="2" t="str">
        <f aca="false">Veri!A31</f>
        <v>Argentina</v>
      </c>
      <c r="B31" s="4" t="n">
        <f aca="false">Veri!F31</f>
        <v>1.05351</v>
      </c>
      <c r="C31" s="4" t="n">
        <f aca="false">(B31-$H$3)/($H$4-$H$3)</f>
        <v>0.623223814200021</v>
      </c>
      <c r="D31" s="4" t="n">
        <f aca="false">Veri!H31</f>
        <v>0.78723</v>
      </c>
      <c r="E31" s="4" t="n">
        <f aca="false">(D31-$I$3)/($I$4-$I$3)</f>
        <v>0.767841989758595</v>
      </c>
    </row>
    <row r="32" customFormat="false" ht="15" hidden="false" customHeight="false" outlineLevel="0" collapsed="false">
      <c r="A32" s="2" t="str">
        <f aca="false">Veri!A32</f>
        <v>Czech Republic</v>
      </c>
      <c r="B32" s="4" t="n">
        <f aca="false">Veri!F32</f>
        <v>1.17898</v>
      </c>
      <c r="C32" s="4" t="n">
        <f aca="false">(B32-$H$3)/($H$4-$H$3)</f>
        <v>0.697447971510039</v>
      </c>
      <c r="D32" s="4" t="n">
        <f aca="false">Veri!H32</f>
        <v>0.84483</v>
      </c>
      <c r="E32" s="4" t="n">
        <f aca="false">(D32-$I$3)/($I$4-$I$3)</f>
        <v>0.824023408924653</v>
      </c>
    </row>
    <row r="33" customFormat="false" ht="15" hidden="false" customHeight="false" outlineLevel="0" collapsed="false">
      <c r="A33" s="2" t="str">
        <f aca="false">Veri!A33</f>
        <v>Uruguay</v>
      </c>
      <c r="B33" s="4" t="n">
        <f aca="false">Veri!F33</f>
        <v>1.06166</v>
      </c>
      <c r="C33" s="4" t="n">
        <f aca="false">(B33-$H$3)/($H$4-$H$3)</f>
        <v>0.628045101217449</v>
      </c>
      <c r="D33" s="4" t="n">
        <f aca="false">Veri!H33</f>
        <v>0.8116</v>
      </c>
      <c r="E33" s="4" t="n">
        <f aca="false">(D33-$I$3)/($I$4-$I$3)</f>
        <v>0.791611801999512</v>
      </c>
    </row>
    <row r="34" customFormat="false" ht="15" hidden="false" customHeight="false" outlineLevel="0" collapsed="false">
      <c r="A34" s="2" t="str">
        <f aca="false">Veri!A34</f>
        <v>Colombia</v>
      </c>
      <c r="B34" s="4" t="n">
        <f aca="false">Veri!F34</f>
        <v>0.91861</v>
      </c>
      <c r="C34" s="4" t="n">
        <f aca="false">(B34-$H$3)/($H$4-$H$3)</f>
        <v>0.543421161604808</v>
      </c>
      <c r="D34" s="4" t="n">
        <f aca="false">Veri!H34</f>
        <v>0.69077</v>
      </c>
      <c r="E34" s="4" t="n">
        <f aca="false">(D34-$I$3)/($I$4-$I$3)</f>
        <v>0.67375762009266</v>
      </c>
    </row>
    <row r="35" customFormat="false" ht="15" hidden="false" customHeight="false" outlineLevel="0" collapsed="false">
      <c r="A35" s="2" t="str">
        <f aca="false">Veri!A35</f>
        <v>Thailand</v>
      </c>
      <c r="B35" s="4" t="n">
        <f aca="false">Veri!F35</f>
        <v>0.9669</v>
      </c>
      <c r="C35" s="4" t="n">
        <f aca="false">(B35-$H$3)/($H$4-$H$3)</f>
        <v>0.571988026644266</v>
      </c>
      <c r="D35" s="4" t="n">
        <f aca="false">Veri!H35</f>
        <v>0.7385</v>
      </c>
      <c r="E35" s="4" t="n">
        <f aca="false">(D35-$I$3)/($I$4-$I$3)</f>
        <v>0.720312118995367</v>
      </c>
    </row>
    <row r="36" customFormat="false" ht="15" hidden="false" customHeight="false" outlineLevel="0" collapsed="false">
      <c r="A36" s="2" t="str">
        <f aca="false">Veri!A36</f>
        <v>Saudi Arabia</v>
      </c>
      <c r="B36" s="4" t="n">
        <f aca="false">Veri!F36</f>
        <v>1.39541</v>
      </c>
      <c r="C36" s="4" t="n">
        <f aca="false">(B36-$H$3)/($H$4-$H$3)</f>
        <v>0.825481241348304</v>
      </c>
      <c r="D36" s="4" t="n">
        <f aca="false">Veri!H36</f>
        <v>0.72025</v>
      </c>
      <c r="E36" s="4" t="n">
        <f aca="false">(D36-$I$3)/($I$4-$I$3)</f>
        <v>0.702511582540844</v>
      </c>
    </row>
    <row r="37" customFormat="false" ht="15" hidden="false" customHeight="false" outlineLevel="0" collapsed="false">
      <c r="A37" s="2" t="str">
        <f aca="false">Veri!A37</f>
        <v>Spain</v>
      </c>
      <c r="B37" s="4" t="n">
        <f aca="false">Veri!F37</f>
        <v>1.23011</v>
      </c>
      <c r="C37" s="4" t="n">
        <f aca="false">(B37-$H$3)/($H$4-$H$3)</f>
        <v>0.727694892393606</v>
      </c>
      <c r="D37" s="4" t="n">
        <f aca="false">Veri!H37</f>
        <v>0.95562</v>
      </c>
      <c r="E37" s="4" t="n">
        <f aca="false">(D37-$I$3)/($I$4-$I$3)</f>
        <v>0.932084857351865</v>
      </c>
    </row>
    <row r="38" customFormat="false" ht="15" hidden="false" customHeight="false" outlineLevel="0" collapsed="false">
      <c r="A38" s="2" t="str">
        <f aca="false">Veri!A38</f>
        <v>Malta</v>
      </c>
      <c r="B38" s="4" t="n">
        <f aca="false">Veri!F38</f>
        <v>1.2074</v>
      </c>
      <c r="C38" s="4" t="n">
        <f aca="false">(B38-$H$3)/($H$4-$H$3)</f>
        <v>0.71426036133032</v>
      </c>
      <c r="D38" s="4" t="n">
        <f aca="false">Veri!H38</f>
        <v>0.88721</v>
      </c>
      <c r="E38" s="4" t="n">
        <f aca="false">(D38-$I$3)/($I$4-$I$3)</f>
        <v>0.865359668373568</v>
      </c>
    </row>
    <row r="39" customFormat="false" ht="15" hidden="false" customHeight="false" outlineLevel="0" collapsed="false">
      <c r="A39" s="2" t="str">
        <f aca="false">Veri!A39</f>
        <v>Taiwan</v>
      </c>
      <c r="B39" s="4" t="n">
        <f aca="false">Veri!F39</f>
        <v>1.29098</v>
      </c>
      <c r="C39" s="4" t="n">
        <f aca="false">(B39-$H$3)/($H$4-$H$3)</f>
        <v>0.763703694939719</v>
      </c>
      <c r="D39" s="4" t="n">
        <f aca="false">Veri!H39</f>
        <v>0.8753</v>
      </c>
      <c r="E39" s="4" t="n">
        <f aca="false">(D39-$I$3)/($I$4-$I$3)</f>
        <v>0.853742989514753</v>
      </c>
    </row>
    <row r="40" customFormat="false" ht="15" hidden="false" customHeight="false" outlineLevel="0" collapsed="false">
      <c r="A40" s="2" t="str">
        <f aca="false">Veri!A40</f>
        <v>Kuwait</v>
      </c>
      <c r="B40" s="4" t="n">
        <f aca="false">Veri!F40</f>
        <v>1.55422</v>
      </c>
      <c r="C40" s="4" t="n">
        <f aca="false">(B40-$H$3)/($H$4-$H$3)</f>
        <v>0.919428307757835</v>
      </c>
      <c r="D40" s="4" t="n">
        <f aca="false">Veri!H40</f>
        <v>0.72492</v>
      </c>
      <c r="E40" s="4" t="n">
        <f aca="false">(D40-$I$3)/($I$4-$I$3)</f>
        <v>0.707066569129481</v>
      </c>
    </row>
    <row r="41" customFormat="false" ht="15" hidden="false" customHeight="false" outlineLevel="0" collapsed="false">
      <c r="A41" s="2" t="str">
        <f aca="false">Veri!A41</f>
        <v>Suriname</v>
      </c>
      <c r="B41" s="4" t="n">
        <f aca="false">Veri!F41</f>
        <v>0.99534</v>
      </c>
      <c r="C41" s="4" t="n">
        <f aca="false">(B41-$H$3)/($H$4-$H$3)</f>
        <v>0.588812247843731</v>
      </c>
      <c r="D41" s="4" t="n">
        <f aca="false">Veri!H41</f>
        <v>0.6082</v>
      </c>
      <c r="E41" s="4" t="n">
        <f aca="false">(D41-$I$3)/($I$4-$I$3)</f>
        <v>0.593221165569373</v>
      </c>
    </row>
    <row r="42" customFormat="false" ht="15" hidden="false" customHeight="false" outlineLevel="0" collapsed="false">
      <c r="A42" s="2" t="str">
        <f aca="false">Veri!A42</f>
        <v>Trinidad and Tobago</v>
      </c>
      <c r="B42" s="4" t="n">
        <f aca="false">Veri!F42</f>
        <v>1.21183</v>
      </c>
      <c r="C42" s="4" t="n">
        <f aca="false">(B42-$H$3)/($H$4-$H$3)</f>
        <v>0.716881011819548</v>
      </c>
      <c r="D42" s="4" t="n">
        <f aca="false">Veri!H42</f>
        <v>0.61483</v>
      </c>
      <c r="E42" s="4" t="n">
        <f aca="false">(D42-$I$3)/($I$4-$I$3)</f>
        <v>0.599687881004633</v>
      </c>
    </row>
    <row r="43" customFormat="false" ht="15" hidden="false" customHeight="false" outlineLevel="0" collapsed="false">
      <c r="A43" s="2" t="str">
        <f aca="false">Veri!A43</f>
        <v>El Salvador</v>
      </c>
      <c r="B43" s="4" t="n">
        <f aca="false">Veri!F43</f>
        <v>0.76454</v>
      </c>
      <c r="C43" s="4" t="n">
        <f aca="false">(B43-$H$3)/($H$4-$H$3)</f>
        <v>0.452278132061854</v>
      </c>
      <c r="D43" s="4" t="n">
        <f aca="false">Veri!H43</f>
        <v>0.67737</v>
      </c>
      <c r="E43" s="4" t="n">
        <f aca="false">(D43-$I$3)/($I$4-$I$3)</f>
        <v>0.660687637161668</v>
      </c>
    </row>
    <row r="44" customFormat="false" ht="15" hidden="false" customHeight="false" outlineLevel="0" collapsed="false">
      <c r="A44" s="2" t="str">
        <f aca="false">Veri!A44</f>
        <v>Guatemala</v>
      </c>
      <c r="B44" s="4" t="n">
        <f aca="false">Veri!F44</f>
        <v>0.74553</v>
      </c>
      <c r="C44" s="4" t="n">
        <f aca="false">(B44-$H$3)/($H$4-$H$3)</f>
        <v>0.441032406147585</v>
      </c>
      <c r="D44" s="4" t="n">
        <f aca="false">Veri!H44</f>
        <v>0.64425</v>
      </c>
      <c r="E44" s="4" t="n">
        <f aca="false">(D44-$I$3)/($I$4-$I$3)</f>
        <v>0.628383321141185</v>
      </c>
    </row>
    <row r="45" customFormat="false" ht="15" hidden="false" customHeight="false" outlineLevel="0" collapsed="false">
      <c r="A45" s="2" t="str">
        <f aca="false">Veri!A45</f>
        <v>Uzbekistan</v>
      </c>
      <c r="B45" s="4" t="n">
        <f aca="false">Veri!F45</f>
        <v>0.63244</v>
      </c>
      <c r="C45" s="4" t="n">
        <f aca="false">(B45-$H$3)/($H$4-$H$3)</f>
        <v>0.374131872552383</v>
      </c>
      <c r="D45" s="4" t="n">
        <f aca="false">Veri!H45</f>
        <v>0.59772</v>
      </c>
      <c r="E45" s="4" t="n">
        <f aca="false">(D45-$I$3)/($I$4-$I$3)</f>
        <v>0.582999268471105</v>
      </c>
    </row>
    <row r="46" customFormat="false" ht="15" hidden="false" customHeight="false" outlineLevel="0" collapsed="false">
      <c r="A46" s="2" t="str">
        <f aca="false">Veri!A46</f>
        <v>Slovakia</v>
      </c>
      <c r="B46" s="4" t="n">
        <f aca="false">Veri!F46</f>
        <v>1.16891</v>
      </c>
      <c r="C46" s="4" t="n">
        <f aca="false">(B46-$H$3)/($H$4-$H$3)</f>
        <v>0.69149087209096</v>
      </c>
      <c r="D46" s="4" t="n">
        <f aca="false">Veri!H46</f>
        <v>0.78902</v>
      </c>
      <c r="E46" s="4" t="n">
        <f aca="false">(D46-$I$3)/($I$4-$I$3)</f>
        <v>0.76958790538893</v>
      </c>
    </row>
    <row r="47" customFormat="false" ht="15" hidden="false" customHeight="false" outlineLevel="0" collapsed="false">
      <c r="A47" s="2" t="str">
        <f aca="false">Veri!A47</f>
        <v>Japan</v>
      </c>
      <c r="B47" s="4" t="n">
        <f aca="false">Veri!F47</f>
        <v>1.27074</v>
      </c>
      <c r="C47" s="4" t="n">
        <f aca="false">(B47-$H$3)/($H$4-$H$3)</f>
        <v>0.751730339205641</v>
      </c>
      <c r="D47" s="4" t="n">
        <f aca="false">Veri!H47</f>
        <v>0.99111</v>
      </c>
      <c r="E47" s="4" t="n">
        <f aca="false">(D47-$I$3)/($I$4-$I$3)</f>
        <v>0.966700804681785</v>
      </c>
    </row>
    <row r="48" customFormat="false" ht="15" hidden="false" customHeight="false" outlineLevel="0" collapsed="false">
      <c r="A48" s="2" t="str">
        <f aca="false">Veri!A48</f>
        <v>South Korea</v>
      </c>
      <c r="B48" s="4" t="n">
        <f aca="false">Veri!F48</f>
        <v>1.24461</v>
      </c>
      <c r="C48" s="4" t="n">
        <f aca="false">(B48-$H$3)/($H$4-$H$3)</f>
        <v>0.736272642301913</v>
      </c>
      <c r="D48" s="4" t="n">
        <f aca="false">Veri!H48</f>
        <v>0.96538</v>
      </c>
      <c r="E48" s="4" t="n">
        <f aca="false">(D48-$I$3)/($I$4-$I$3)</f>
        <v>0.941604486710558</v>
      </c>
    </row>
    <row r="49" customFormat="false" ht="15" hidden="false" customHeight="false" outlineLevel="0" collapsed="false">
      <c r="A49" s="2" t="str">
        <f aca="false">Veri!A49</f>
        <v>Ecuador</v>
      </c>
      <c r="B49" s="4" t="n">
        <f aca="false">Veri!F49</f>
        <v>0.86402</v>
      </c>
      <c r="C49" s="4" t="n">
        <f aca="false">(B49-$H$3)/($H$4-$H$3)</f>
        <v>0.511127412122431</v>
      </c>
      <c r="D49" s="4" t="n">
        <f aca="false">Veri!H49</f>
        <v>0.79075</v>
      </c>
      <c r="E49" s="4" t="n">
        <f aca="false">(D49-$I$3)/($I$4-$I$3)</f>
        <v>0.771275298707632</v>
      </c>
    </row>
    <row r="50" customFormat="false" ht="15" hidden="false" customHeight="false" outlineLevel="0" collapsed="false">
      <c r="A50" s="2" t="str">
        <f aca="false">Veri!A50</f>
        <v>Bahrain</v>
      </c>
      <c r="B50" s="4" t="n">
        <f aca="false">Veri!F50</f>
        <v>1.32376</v>
      </c>
      <c r="C50" s="4" t="n">
        <f aca="false">(B50-$H$3)/($H$4-$H$3)</f>
        <v>0.783095325422085</v>
      </c>
      <c r="D50" s="4" t="n">
        <f aca="false">Veri!H50</f>
        <v>0.74716</v>
      </c>
      <c r="E50" s="4" t="n">
        <f aca="false">(D50-$I$3)/($I$4-$I$3)</f>
        <v>0.728758839307486</v>
      </c>
    </row>
    <row r="51" customFormat="false" ht="15" hidden="false" customHeight="false" outlineLevel="0" collapsed="false">
      <c r="A51" s="2" t="str">
        <f aca="false">Veri!A51</f>
        <v>Italy</v>
      </c>
      <c r="B51" s="4" t="n">
        <f aca="false">Veri!F51</f>
        <v>1.25114</v>
      </c>
      <c r="C51" s="4" t="n">
        <f aca="false">(B51-$H$3)/($H$4-$H$3)</f>
        <v>0.740135587605447</v>
      </c>
      <c r="D51" s="4" t="n">
        <f aca="false">Veri!H51</f>
        <v>0.95446</v>
      </c>
      <c r="E51" s="4" t="n">
        <f aca="false">(D51-$I$3)/($I$4-$I$3)</f>
        <v>0.93095342599366</v>
      </c>
    </row>
    <row r="52" customFormat="false" ht="15" hidden="false" customHeight="false" outlineLevel="0" collapsed="false">
      <c r="A52" s="2" t="str">
        <f aca="false">Veri!A52</f>
        <v>Bolivia</v>
      </c>
      <c r="B52" s="4" t="n">
        <f aca="false">Veri!F52</f>
        <v>0.68133</v>
      </c>
      <c r="C52" s="4" t="n">
        <f aca="false">(B52-$H$3)/($H$4-$H$3)</f>
        <v>0.403053678967357</v>
      </c>
      <c r="D52" s="4" t="n">
        <f aca="false">Veri!H52</f>
        <v>0.5392</v>
      </c>
      <c r="E52" s="4" t="n">
        <f aca="false">(D52-$I$3)/($I$4-$I$3)</f>
        <v>0.525920507193368</v>
      </c>
    </row>
    <row r="53" customFormat="false" ht="15" hidden="false" customHeight="false" outlineLevel="0" collapsed="false">
      <c r="A53" s="2" t="str">
        <f aca="false">Veri!A53</f>
        <v>Moldova</v>
      </c>
      <c r="B53" s="4" t="n">
        <f aca="false">Veri!F53</f>
        <v>0.59448</v>
      </c>
      <c r="C53" s="4" t="n">
        <f aca="false">(B53-$H$3)/($H$4-$H$3)</f>
        <v>0.351675914861395</v>
      </c>
      <c r="D53" s="4" t="n">
        <f aca="false">Veri!H53</f>
        <v>0.61826</v>
      </c>
      <c r="E53" s="4" t="n">
        <f aca="false">(D53-$I$3)/($I$4-$I$3)</f>
        <v>0.603033406486223</v>
      </c>
    </row>
    <row r="54" customFormat="false" ht="15" hidden="false" customHeight="false" outlineLevel="0" collapsed="false">
      <c r="A54" s="2" t="str">
        <f aca="false">Veri!A54</f>
        <v>Paraguay</v>
      </c>
      <c r="B54" s="4" t="n">
        <f aca="false">Veri!F54</f>
        <v>0.75985</v>
      </c>
      <c r="C54" s="4" t="n">
        <f aca="false">(B54-$H$3)/($H$4-$H$3)</f>
        <v>0.449503673643237</v>
      </c>
      <c r="D54" s="4" t="n">
        <f aca="false">Veri!H54</f>
        <v>0.66098</v>
      </c>
      <c r="E54" s="4" t="n">
        <f aca="false">(D54-$I$3)/($I$4-$I$3)</f>
        <v>0.644701292367715</v>
      </c>
    </row>
    <row r="55" customFormat="false" ht="15" hidden="false" customHeight="false" outlineLevel="0" collapsed="false">
      <c r="A55" s="2" t="str">
        <f aca="false">Veri!A55</f>
        <v>Kazakhstan</v>
      </c>
      <c r="B55" s="4" t="n">
        <f aca="false">Veri!F55</f>
        <v>1.12254</v>
      </c>
      <c r="C55" s="4" t="n">
        <f aca="false">(B55-$H$3)/($H$4-$H$3)</f>
        <v>0.664059819453154</v>
      </c>
      <c r="D55" s="4" t="n">
        <f aca="false">Veri!H55</f>
        <v>0.64368</v>
      </c>
      <c r="E55" s="4" t="n">
        <f aca="false">(D55-$I$3)/($I$4-$I$3)</f>
        <v>0.627827359180688</v>
      </c>
    </row>
    <row r="56" customFormat="false" ht="15" hidden="false" customHeight="false" outlineLevel="0" collapsed="false">
      <c r="A56" s="2" t="str">
        <f aca="false">Veri!A56</f>
        <v>Slovenia</v>
      </c>
      <c r="B56" s="4" t="n">
        <f aca="false">Veri!F56</f>
        <v>1.18498</v>
      </c>
      <c r="C56" s="4" t="n">
        <f aca="false">(B56-$H$3)/($H$4-$H$3)</f>
        <v>0.7009973852652</v>
      </c>
      <c r="D56" s="4" t="n">
        <f aca="false">Veri!H56</f>
        <v>0.87337</v>
      </c>
      <c r="E56" s="4" t="n">
        <f aca="false">(D56-$I$3)/($I$4-$I$3)</f>
        <v>0.851860521823945</v>
      </c>
    </row>
    <row r="57" customFormat="false" ht="15" hidden="false" customHeight="false" outlineLevel="0" collapsed="false">
      <c r="A57" s="2" t="str">
        <f aca="false">Veri!A57</f>
        <v>Lithuania</v>
      </c>
      <c r="B57" s="4" t="n">
        <f aca="false">Veri!F57</f>
        <v>1.14723</v>
      </c>
      <c r="C57" s="4" t="n">
        <f aca="false">(B57-$H$3)/($H$4-$H$3)</f>
        <v>0.678665657055643</v>
      </c>
      <c r="D57" s="4" t="n">
        <f aca="false">Veri!H57</f>
        <v>0.73128</v>
      </c>
      <c r="E57" s="4" t="n">
        <f aca="false">(D57-$I$3)/($I$4-$I$3)</f>
        <v>0.7132699341624</v>
      </c>
    </row>
    <row r="58" customFormat="false" ht="15" hidden="false" customHeight="false" outlineLevel="0" collapsed="false">
      <c r="A58" s="2" t="str">
        <f aca="false">Veri!A58</f>
        <v>Nicaragua</v>
      </c>
      <c r="B58" s="4" t="n">
        <f aca="false">Veri!F58</f>
        <v>0.59325</v>
      </c>
      <c r="C58" s="4" t="n">
        <f aca="false">(B58-$H$3)/($H$4-$H$3)</f>
        <v>0.350948285041587</v>
      </c>
      <c r="D58" s="4" t="n">
        <f aca="false">Veri!H58</f>
        <v>0.74314</v>
      </c>
      <c r="E58" s="4" t="n">
        <f aca="false">(D58-$I$3)/($I$4-$I$3)</f>
        <v>0.724837844428188</v>
      </c>
    </row>
    <row r="59" customFormat="false" ht="15" hidden="false" customHeight="false" outlineLevel="0" collapsed="false">
      <c r="A59" s="2" t="str">
        <f aca="false">Veri!A59</f>
        <v>Peru</v>
      </c>
      <c r="B59" s="4" t="n">
        <f aca="false">Veri!F59</f>
        <v>0.90019</v>
      </c>
      <c r="C59" s="4" t="n">
        <f aca="false">(B59-$H$3)/($H$4-$H$3)</f>
        <v>0.532524461376463</v>
      </c>
      <c r="D59" s="4" t="n">
        <f aca="false">Veri!H59</f>
        <v>0.73017</v>
      </c>
      <c r="E59" s="4" t="n">
        <f aca="false">(D59-$I$3)/($I$4-$I$3)</f>
        <v>0.71218727139722</v>
      </c>
    </row>
    <row r="60" customFormat="false" ht="15" hidden="false" customHeight="false" outlineLevel="0" collapsed="false">
      <c r="A60" s="2" t="str">
        <f aca="false">Veri!A60</f>
        <v>Belarus</v>
      </c>
      <c r="B60" s="4" t="n">
        <f aca="false">Veri!F60</f>
        <v>1.03192</v>
      </c>
      <c r="C60" s="4" t="n">
        <f aca="false">(B60-$H$3)/($H$4-$H$3)</f>
        <v>0.610451840371032</v>
      </c>
      <c r="D60" s="4" t="n">
        <f aca="false">Veri!H60</f>
        <v>0.73608</v>
      </c>
      <c r="E60" s="4" t="n">
        <f aca="false">(D60-$I$3)/($I$4-$I$3)</f>
        <v>0.717951719092904</v>
      </c>
    </row>
    <row r="61" customFormat="false" ht="15" hidden="false" customHeight="false" outlineLevel="0" collapsed="false">
      <c r="A61" s="2" t="str">
        <f aca="false">Veri!A61</f>
        <v>Poland</v>
      </c>
      <c r="B61" s="4" t="n">
        <f aca="false">Veri!F61</f>
        <v>1.12555</v>
      </c>
      <c r="C61" s="4" t="n">
        <f aca="false">(B61-$H$3)/($H$4-$H$3)</f>
        <v>0.665840442020326</v>
      </c>
      <c r="D61" s="4" t="n">
        <f aca="false">Veri!H61</f>
        <v>0.77903</v>
      </c>
      <c r="E61" s="4" t="n">
        <f aca="false">(D61-$I$3)/($I$4-$I$3)</f>
        <v>0.759843940502317</v>
      </c>
    </row>
    <row r="62" customFormat="false" ht="15" hidden="false" customHeight="false" outlineLevel="0" collapsed="false">
      <c r="A62" s="2" t="str">
        <f aca="false">Veri!A62</f>
        <v>Malaysia</v>
      </c>
      <c r="B62" s="4" t="n">
        <f aca="false">Veri!F62</f>
        <v>1.12486</v>
      </c>
      <c r="C62" s="4" t="n">
        <f aca="false">(B62-$H$3)/($H$4-$H$3)</f>
        <v>0.665432259438483</v>
      </c>
      <c r="D62" s="4" t="n">
        <f aca="false">Veri!H62</f>
        <v>0.72394</v>
      </c>
      <c r="E62" s="4" t="n">
        <f aca="false">(D62-$I$3)/($I$4-$I$3)</f>
        <v>0.706110704706169</v>
      </c>
    </row>
    <row r="63" customFormat="false" ht="15" hidden="false" customHeight="false" outlineLevel="0" collapsed="false">
      <c r="A63" s="2" t="str">
        <f aca="false">Veri!A63</f>
        <v>Croatia</v>
      </c>
      <c r="B63" s="4" t="n">
        <f aca="false">Veri!F63</f>
        <v>1.08254</v>
      </c>
      <c r="C63" s="4" t="n">
        <f aca="false">(B63-$H$3)/($H$4-$H$3)</f>
        <v>0.640397061085411</v>
      </c>
      <c r="D63" s="4" t="n">
        <f aca="false">Veri!H63</f>
        <v>0.78805</v>
      </c>
      <c r="E63" s="4" t="n">
        <f aca="false">(D63-$I$3)/($I$4-$I$3)</f>
        <v>0.768641794684223</v>
      </c>
    </row>
    <row r="64" customFormat="false" ht="15" hidden="false" customHeight="false" outlineLevel="0" collapsed="false">
      <c r="A64" s="2" t="str">
        <f aca="false">Veri!A64</f>
        <v>Libya</v>
      </c>
      <c r="B64" s="4" t="n">
        <f aca="false">Veri!F64</f>
        <v>1.13145</v>
      </c>
      <c r="C64" s="4" t="n">
        <f aca="false">(B64-$H$3)/($H$4-$H$3)</f>
        <v>0.669330698879568</v>
      </c>
      <c r="D64" s="4" t="n">
        <f aca="false">Veri!H64</f>
        <v>0.7038</v>
      </c>
      <c r="E64" s="4" t="n">
        <f aca="false">(D64-$I$3)/($I$4-$I$3)</f>
        <v>0.68646671543526</v>
      </c>
    </row>
    <row r="65" customFormat="false" ht="15" hidden="false" customHeight="false" outlineLevel="0" collapsed="false">
      <c r="A65" s="2" t="str">
        <f aca="false">Veri!A65</f>
        <v>Russia</v>
      </c>
      <c r="B65" s="4" t="n">
        <f aca="false">Veri!F65</f>
        <v>1.13764</v>
      </c>
      <c r="C65" s="4" t="n">
        <f aca="false">(B65-$H$3)/($H$4-$H$3)</f>
        <v>0.672992510736977</v>
      </c>
      <c r="D65" s="4" t="n">
        <f aca="false">Veri!H65</f>
        <v>0.66926</v>
      </c>
      <c r="E65" s="4" t="n">
        <f aca="false">(D65-$I$3)/($I$4-$I$3)</f>
        <v>0.652777371372836</v>
      </c>
    </row>
    <row r="66" customFormat="false" ht="15" hidden="false" customHeight="false" outlineLevel="0" collapsed="false">
      <c r="A66" s="2" t="str">
        <f aca="false">Veri!A66</f>
        <v>Jamaica</v>
      </c>
      <c r="B66" s="4" t="n">
        <f aca="false">Veri!F66</f>
        <v>0.81038</v>
      </c>
      <c r="C66" s="4" t="n">
        <f aca="false">(B66-$H$3)/($H$4-$H$3)</f>
        <v>0.479395653151288</v>
      </c>
      <c r="D66" s="4" t="n">
        <f aca="false">Veri!H66</f>
        <v>0.68741</v>
      </c>
      <c r="E66" s="4" t="n">
        <f aca="false">(D66-$I$3)/($I$4-$I$3)</f>
        <v>0.670480370641307</v>
      </c>
    </row>
    <row r="67" customFormat="false" ht="15" hidden="false" customHeight="false" outlineLevel="0" collapsed="false">
      <c r="A67" s="2" t="str">
        <f aca="false">Veri!A67</f>
        <v>North Cyprus</v>
      </c>
      <c r="B67" s="4" t="n">
        <f aca="false">Veri!F67</f>
        <v>1.20806</v>
      </c>
      <c r="C67" s="4" t="n">
        <f aca="false">(B67-$H$3)/($H$4-$H$3)</f>
        <v>0.714650796843388</v>
      </c>
      <c r="D67" s="4" t="n">
        <f aca="false">Veri!H67</f>
        <v>0.92356</v>
      </c>
      <c r="E67" s="4" t="n">
        <f aca="false">(D67-$I$3)/($I$4-$I$3)</f>
        <v>0.900814435503536</v>
      </c>
    </row>
    <row r="68" customFormat="false" ht="15" hidden="false" customHeight="false" outlineLevel="0" collapsed="false">
      <c r="A68" s="2" t="str">
        <f aca="false">Veri!A68</f>
        <v>Cyprus</v>
      </c>
      <c r="B68" s="4" t="n">
        <f aca="false">Veri!F68</f>
        <v>1.20813</v>
      </c>
      <c r="C68" s="4" t="n">
        <f aca="false">(B68-$H$3)/($H$4-$H$3)</f>
        <v>0.714692206670532</v>
      </c>
      <c r="D68" s="4" t="n">
        <f aca="false">Veri!H68</f>
        <v>0.92356</v>
      </c>
      <c r="E68" s="4" t="n">
        <f aca="false">(D68-$I$3)/($I$4-$I$3)</f>
        <v>0.900814435503536</v>
      </c>
    </row>
    <row r="69" customFormat="false" ht="15" hidden="false" customHeight="false" outlineLevel="0" collapsed="false">
      <c r="A69" s="2" t="str">
        <f aca="false">Veri!A69</f>
        <v>Algeria</v>
      </c>
      <c r="B69" s="4" t="n">
        <f aca="false">Veri!F69</f>
        <v>0.93929</v>
      </c>
      <c r="C69" s="4" t="n">
        <f aca="false">(B69-$H$3)/($H$4-$H$3)</f>
        <v>0.555654807680931</v>
      </c>
      <c r="D69" s="4" t="n">
        <f aca="false">Veri!H69</f>
        <v>0.61766</v>
      </c>
      <c r="E69" s="4" t="n">
        <f aca="false">(D69-$I$3)/($I$4-$I$3)</f>
        <v>0.60244818336991</v>
      </c>
    </row>
    <row r="70" customFormat="false" ht="15" hidden="false" customHeight="false" outlineLevel="0" collapsed="false">
      <c r="A70" s="2" t="str">
        <f aca="false">Veri!A70</f>
        <v>Kosovo</v>
      </c>
      <c r="B70" s="4" t="n">
        <f aca="false">Veri!F70</f>
        <v>0.80148</v>
      </c>
      <c r="C70" s="4" t="n">
        <f aca="false">(B70-$H$3)/($H$4-$H$3)</f>
        <v>0.474130689414465</v>
      </c>
      <c r="D70" s="4" t="n">
        <f aca="false">Veri!H70</f>
        <v>0.63132</v>
      </c>
      <c r="E70" s="4" t="n">
        <f aca="false">(D70-$I$3)/($I$4-$I$3)</f>
        <v>0.615771762984638</v>
      </c>
    </row>
    <row r="71" customFormat="false" ht="15" hidden="false" customHeight="false" outlineLevel="0" collapsed="false">
      <c r="A71" s="2" t="str">
        <f aca="false">Veri!A71</f>
        <v>Turkmenistan</v>
      </c>
      <c r="B71" s="4" t="n">
        <f aca="false">Veri!F71</f>
        <v>0.95847</v>
      </c>
      <c r="C71" s="4" t="n">
        <f aca="false">(B71-$H$3)/($H$4-$H$3)</f>
        <v>0.567001100318264</v>
      </c>
      <c r="D71" s="4" t="n">
        <f aca="false">Veri!H71</f>
        <v>0.53886</v>
      </c>
      <c r="E71" s="4" t="n">
        <f aca="false">(D71-$I$3)/($I$4-$I$3)</f>
        <v>0.52558888076079</v>
      </c>
    </row>
    <row r="72" customFormat="false" ht="15" hidden="false" customHeight="false" outlineLevel="0" collapsed="false">
      <c r="A72" s="2" t="str">
        <f aca="false">Veri!A72</f>
        <v>Mauritius</v>
      </c>
      <c r="B72" s="4" t="n">
        <f aca="false">Veri!F72</f>
        <v>1.00761</v>
      </c>
      <c r="C72" s="4" t="n">
        <f aca="false">(B72-$H$3)/($H$4-$H$3)</f>
        <v>0.596070798973036</v>
      </c>
      <c r="D72" s="4" t="n">
        <f aca="false">Veri!H72</f>
        <v>0.7095</v>
      </c>
      <c r="E72" s="4" t="n">
        <f aca="false">(D72-$I$3)/($I$4-$I$3)</f>
        <v>0.692026335040234</v>
      </c>
    </row>
    <row r="73" customFormat="false" ht="15" hidden="false" customHeight="false" outlineLevel="0" collapsed="false">
      <c r="A73" s="2" t="str">
        <f aca="false">Veri!A73</f>
        <v>Hong Kong</v>
      </c>
      <c r="B73" s="4" t="n">
        <f aca="false">Veri!F73</f>
        <v>1.38604</v>
      </c>
      <c r="C73" s="4" t="n">
        <f aca="false">(B73-$H$3)/($H$4-$H$3)</f>
        <v>0.81993824020066</v>
      </c>
      <c r="D73" s="4" t="n">
        <f aca="false">Veri!H73</f>
        <v>1.01328</v>
      </c>
      <c r="E73" s="4" t="n">
        <f aca="false">(D73-$I$3)/($I$4-$I$3)</f>
        <v>0.988324798829554</v>
      </c>
    </row>
    <row r="74" customFormat="false" ht="15" hidden="false" customHeight="false" outlineLevel="0" collapsed="false">
      <c r="A74" s="2" t="str">
        <f aca="false">Veri!A74</f>
        <v>Estonia</v>
      </c>
      <c r="B74" s="4" t="n">
        <f aca="false">Veri!F74</f>
        <v>1.15174</v>
      </c>
      <c r="C74" s="4" t="n">
        <f aca="false">(B74-$H$3)/($H$4-$H$3)</f>
        <v>0.681333633061606</v>
      </c>
      <c r="D74" s="4" t="n">
        <f aca="false">Veri!H74</f>
        <v>0.77361</v>
      </c>
      <c r="E74" s="4" t="n">
        <f aca="false">(D74-$I$3)/($I$4-$I$3)</f>
        <v>0.754557425018288</v>
      </c>
    </row>
    <row r="75" customFormat="false" ht="15" hidden="false" customHeight="false" outlineLevel="0" collapsed="false">
      <c r="A75" s="2" t="str">
        <f aca="false">Veri!A75</f>
        <v>Indonesia</v>
      </c>
      <c r="B75" s="4" t="n">
        <f aca="false">Veri!F75</f>
        <v>0.82827</v>
      </c>
      <c r="C75" s="4" t="n">
        <f aca="false">(B75-$H$3)/($H$4-$H$3)</f>
        <v>0.489978821831261</v>
      </c>
      <c r="D75" s="4" t="n">
        <f aca="false">Veri!H75</f>
        <v>0.63793</v>
      </c>
      <c r="E75" s="4" t="n">
        <f aca="false">(D75-$I$3)/($I$4-$I$3)</f>
        <v>0.622218970982687</v>
      </c>
    </row>
    <row r="76" customFormat="false" ht="15" hidden="false" customHeight="false" outlineLevel="0" collapsed="false">
      <c r="A76" s="2" t="str">
        <f aca="false">Veri!A76</f>
        <v>Vietnam</v>
      </c>
      <c r="B76" s="4" t="n">
        <f aca="false">Veri!F76</f>
        <v>0.63216</v>
      </c>
      <c r="C76" s="4" t="n">
        <f aca="false">(B76-$H$3)/($H$4-$H$3)</f>
        <v>0.373966233243809</v>
      </c>
      <c r="D76" s="4" t="n">
        <f aca="false">Veri!H76</f>
        <v>0.74676</v>
      </c>
      <c r="E76" s="4" t="n">
        <f aca="false">(D76-$I$3)/($I$4-$I$3)</f>
        <v>0.728368690563277</v>
      </c>
    </row>
    <row r="77" customFormat="false" ht="15" hidden="false" customHeight="false" outlineLevel="0" collapsed="false">
      <c r="A77" s="2" t="str">
        <f aca="false">Veri!A77</f>
        <v>Turkey</v>
      </c>
      <c r="B77" s="4" t="n">
        <f aca="false">Veri!F77</f>
        <v>1.06098</v>
      </c>
      <c r="C77" s="4" t="n">
        <f aca="false">(B77-$H$3)/($H$4-$H$3)</f>
        <v>0.627642834325197</v>
      </c>
      <c r="D77" s="4" t="n">
        <f aca="false">Veri!H77</f>
        <v>0.73172</v>
      </c>
      <c r="E77" s="4" t="n">
        <f aca="false">(D77-$I$3)/($I$4-$I$3)</f>
        <v>0.713699097781029</v>
      </c>
    </row>
    <row r="78" customFormat="false" ht="15" hidden="false" customHeight="false" outlineLevel="0" collapsed="false">
      <c r="A78" s="2" t="str">
        <f aca="false">Veri!A78</f>
        <v>Kyrgyzstan</v>
      </c>
      <c r="B78" s="4" t="n">
        <f aca="false">Veri!F78</f>
        <v>0.47428</v>
      </c>
      <c r="C78" s="4" t="n">
        <f aca="false">(B78-$H$3)/($H$4-$H$3)</f>
        <v>0.280569325966328</v>
      </c>
      <c r="D78" s="4" t="n">
        <f aca="false">Veri!H78</f>
        <v>0.65088</v>
      </c>
      <c r="E78" s="4" t="n">
        <f aca="false">(D78-$I$3)/($I$4-$I$3)</f>
        <v>0.634850036576445</v>
      </c>
    </row>
    <row r="79" customFormat="false" ht="15" hidden="false" customHeight="false" outlineLevel="0" collapsed="false">
      <c r="A79" s="2" t="str">
        <f aca="false">Veri!A79</f>
        <v>Nigeria</v>
      </c>
      <c r="B79" s="4" t="n">
        <f aca="false">Veri!F79</f>
        <v>0.65435</v>
      </c>
      <c r="C79" s="4" t="n">
        <f aca="false">(B79-$H$3)/($H$4-$H$3)</f>
        <v>0.387093148448315</v>
      </c>
      <c r="D79" s="4" t="n">
        <f aca="false">Veri!H79</f>
        <v>0.16007</v>
      </c>
      <c r="E79" s="4" t="n">
        <f aca="false">(D79-$I$3)/($I$4-$I$3)</f>
        <v>0.156127773713728</v>
      </c>
    </row>
    <row r="80" customFormat="false" ht="15" hidden="false" customHeight="false" outlineLevel="0" collapsed="false">
      <c r="A80" s="2" t="str">
        <f aca="false">Veri!A80</f>
        <v>Bhutan</v>
      </c>
      <c r="B80" s="4" t="n">
        <f aca="false">Veri!F80</f>
        <v>0.77042</v>
      </c>
      <c r="C80" s="4" t="n">
        <f aca="false">(B80-$H$3)/($H$4-$H$3)</f>
        <v>0.455756557541913</v>
      </c>
      <c r="D80" s="4" t="n">
        <f aca="false">Veri!H80</f>
        <v>0.57407</v>
      </c>
      <c r="E80" s="4" t="n">
        <f aca="false">(D80-$I$3)/($I$4-$I$3)</f>
        <v>0.559931723969763</v>
      </c>
    </row>
    <row r="81" customFormat="false" ht="15" hidden="false" customHeight="false" outlineLevel="0" collapsed="false">
      <c r="A81" s="2" t="str">
        <f aca="false">Veri!A81</f>
        <v>Azerbaijan</v>
      </c>
      <c r="B81" s="4" t="n">
        <f aca="false">Veri!F81</f>
        <v>1.02389</v>
      </c>
      <c r="C81" s="4" t="n">
        <f aca="false">(B81-$H$3)/($H$4-$H$3)</f>
        <v>0.605701541628708</v>
      </c>
      <c r="D81" s="4" t="n">
        <f aca="false">Veri!H81</f>
        <v>0.64045</v>
      </c>
      <c r="E81" s="4" t="n">
        <f aca="false">(D81-$I$3)/($I$4-$I$3)</f>
        <v>0.624676908071202</v>
      </c>
    </row>
    <row r="82" customFormat="false" ht="15" hidden="false" customHeight="false" outlineLevel="0" collapsed="false">
      <c r="A82" s="2" t="str">
        <f aca="false">Veri!A82</f>
        <v>Pakistan</v>
      </c>
      <c r="B82" s="4" t="n">
        <f aca="false">Veri!F82</f>
        <v>0.59543</v>
      </c>
      <c r="C82" s="4" t="n">
        <f aca="false">(B82-$H$3)/($H$4-$H$3)</f>
        <v>0.352237905372629</v>
      </c>
      <c r="D82" s="4" t="n">
        <f aca="false">Veri!H82</f>
        <v>0.51466</v>
      </c>
      <c r="E82" s="4" t="n">
        <f aca="false">(D82-$I$3)/($I$4-$I$3)</f>
        <v>0.501984881736162</v>
      </c>
    </row>
    <row r="83" customFormat="false" ht="15" hidden="false" customHeight="false" outlineLevel="0" collapsed="false">
      <c r="A83" s="2" t="str">
        <f aca="false">Veri!A83</f>
        <v>Jordan</v>
      </c>
      <c r="B83" s="4" t="n">
        <f aca="false">Veri!F83</f>
        <v>0.90198</v>
      </c>
      <c r="C83" s="4" t="n">
        <f aca="false">(B83-$H$3)/($H$4-$H$3)</f>
        <v>0.533583369813419</v>
      </c>
      <c r="D83" s="4" t="n">
        <f aca="false">Veri!H83</f>
        <v>0.69639</v>
      </c>
      <c r="E83" s="4" t="n">
        <f aca="false">(D83-$I$3)/($I$4-$I$3)</f>
        <v>0.679239209948793</v>
      </c>
    </row>
    <row r="84" customFormat="false" ht="15" hidden="false" customHeight="false" outlineLevel="0" collapsed="false">
      <c r="A84" s="2" t="str">
        <f aca="false">Veri!A84</f>
        <v>Montenegro</v>
      </c>
      <c r="B84" s="4" t="n">
        <f aca="false">Veri!F84</f>
        <v>0.97438</v>
      </c>
      <c r="C84" s="4" t="n">
        <f aca="false">(B84-$H$3)/($H$4-$H$3)</f>
        <v>0.576412962459034</v>
      </c>
      <c r="D84" s="4" t="n">
        <f aca="false">Veri!H84</f>
        <v>0.72521</v>
      </c>
      <c r="E84" s="4" t="n">
        <f aca="false">(D84-$I$3)/($I$4-$I$3)</f>
        <v>0.707349426969032</v>
      </c>
    </row>
    <row r="85" customFormat="false" ht="15" hidden="false" customHeight="false" outlineLevel="0" collapsed="false">
      <c r="A85" s="2" t="str">
        <f aca="false">Veri!A85</f>
        <v>China</v>
      </c>
      <c r="B85" s="4" t="n">
        <f aca="false">Veri!F85</f>
        <v>0.89012</v>
      </c>
      <c r="C85" s="4" t="n">
        <f aca="false">(B85-$H$3)/($H$4-$H$3)</f>
        <v>0.526567361957383</v>
      </c>
      <c r="D85" s="4" t="n">
        <f aca="false">Veri!H85</f>
        <v>0.81658</v>
      </c>
      <c r="E85" s="4" t="n">
        <f aca="false">(D85-$I$3)/($I$4-$I$3)</f>
        <v>0.796469153864911</v>
      </c>
    </row>
    <row r="86" customFormat="false" ht="15" hidden="false" customHeight="false" outlineLevel="0" collapsed="false">
      <c r="A86" s="2" t="str">
        <f aca="false">Veri!A86</f>
        <v>Zambia</v>
      </c>
      <c r="B86" s="4" t="n">
        <f aca="false">Veri!F86</f>
        <v>0.47038</v>
      </c>
      <c r="C86" s="4" t="n">
        <f aca="false">(B86-$H$3)/($H$4-$H$3)</f>
        <v>0.278262207025473</v>
      </c>
      <c r="D86" s="4" t="n">
        <f aca="false">Veri!H86</f>
        <v>0.29924</v>
      </c>
      <c r="E86" s="4" t="n">
        <f aca="false">(D86-$I$3)/($I$4-$I$3)</f>
        <v>0.291870275542551</v>
      </c>
    </row>
    <row r="87" customFormat="false" ht="15" hidden="false" customHeight="false" outlineLevel="0" collapsed="false">
      <c r="A87" s="2" t="str">
        <f aca="false">Veri!A87</f>
        <v>Romania</v>
      </c>
      <c r="B87" s="4" t="n">
        <f aca="false">Veri!F87</f>
        <v>1.04345</v>
      </c>
      <c r="C87" s="4" t="n">
        <f aca="false">(B87-$H$3)/($H$4-$H$3)</f>
        <v>0.617272630470534</v>
      </c>
      <c r="D87" s="4" t="n">
        <f aca="false">Veri!H87</f>
        <v>0.7689</v>
      </c>
      <c r="E87" s="4" t="n">
        <f aca="false">(D87-$I$3)/($I$4-$I$3)</f>
        <v>0.749963423555231</v>
      </c>
    </row>
    <row r="88" customFormat="false" ht="15" hidden="false" customHeight="false" outlineLevel="0" collapsed="false">
      <c r="A88" s="2" t="str">
        <f aca="false">Veri!A88</f>
        <v>Serbia</v>
      </c>
      <c r="B88" s="4" t="n">
        <f aca="false">Veri!F88</f>
        <v>0.92053</v>
      </c>
      <c r="C88" s="4" t="n">
        <f aca="false">(B88-$H$3)/($H$4-$H$3)</f>
        <v>0.54455697400646</v>
      </c>
      <c r="D88" s="4" t="n">
        <f aca="false">Veri!H88</f>
        <v>0.74836</v>
      </c>
      <c r="E88" s="4" t="n">
        <f aca="false">(D88-$I$3)/($I$4-$I$3)</f>
        <v>0.729929285540112</v>
      </c>
    </row>
    <row r="89" customFormat="false" ht="15" hidden="false" customHeight="false" outlineLevel="0" collapsed="false">
      <c r="A89" s="2" t="str">
        <f aca="false">Veri!A89</f>
        <v>Portugal</v>
      </c>
      <c r="B89" s="4" t="n">
        <f aca="false">Veri!F89</f>
        <v>1.15991</v>
      </c>
      <c r="C89" s="4" t="n">
        <f aca="false">(B89-$H$3)/($H$4-$H$3)</f>
        <v>0.686166751458218</v>
      </c>
      <c r="D89" s="4" t="n">
        <f aca="false">Veri!H89</f>
        <v>0.87519</v>
      </c>
      <c r="E89" s="4" t="n">
        <f aca="false">(D89-$I$3)/($I$4-$I$3)</f>
        <v>0.853635698610095</v>
      </c>
    </row>
    <row r="90" customFormat="false" ht="15" hidden="false" customHeight="false" outlineLevel="0" collapsed="false">
      <c r="A90" s="2" t="str">
        <f aca="false">Veri!A90</f>
        <v>Latvia</v>
      </c>
      <c r="B90" s="4" t="n">
        <f aca="false">Veri!F90</f>
        <v>1.11312</v>
      </c>
      <c r="C90" s="4" t="n">
        <f aca="false">(B90-$H$3)/($H$4-$H$3)</f>
        <v>0.65848723985755</v>
      </c>
      <c r="D90" s="4" t="n">
        <f aca="false">Veri!H90</f>
        <v>0.72437</v>
      </c>
      <c r="E90" s="4" t="n">
        <f aca="false">(D90-$I$3)/($I$4-$I$3)</f>
        <v>0.706530114606194</v>
      </c>
    </row>
    <row r="91" customFormat="false" ht="15" hidden="false" customHeight="false" outlineLevel="0" collapsed="false">
      <c r="A91" s="2" t="str">
        <f aca="false">Veri!A91</f>
        <v>Philippines</v>
      </c>
      <c r="B91" s="4" t="n">
        <f aca="false">Veri!F91</f>
        <v>0.70532</v>
      </c>
      <c r="C91" s="4" t="n">
        <f aca="false">(B91-$H$3)/($H$4-$H$3)</f>
        <v>0.417245418298411</v>
      </c>
      <c r="D91" s="4" t="n">
        <f aca="false">Veri!H91</f>
        <v>0.58114</v>
      </c>
      <c r="E91" s="4" t="n">
        <f aca="false">(D91-$I$3)/($I$4-$I$3)</f>
        <v>0.566827603023653</v>
      </c>
    </row>
    <row r="92" customFormat="false" ht="15" hidden="false" customHeight="false" outlineLevel="0" collapsed="false">
      <c r="A92" s="2" t="str">
        <f aca="false">Veri!A92</f>
        <v>Somaliland region</v>
      </c>
      <c r="B92" s="4" t="n">
        <f aca="false">Veri!F92</f>
        <v>0.18847</v>
      </c>
      <c r="C92" s="4" t="n">
        <f aca="false">(B92-$H$3)/($H$4-$H$3)</f>
        <v>0.111493001739213</v>
      </c>
      <c r="D92" s="4" t="n">
        <f aca="false">Veri!H92</f>
        <v>0.43873</v>
      </c>
      <c r="E92" s="4" t="n">
        <f aca="false">(D92-$I$3)/($I$4-$I$3)</f>
        <v>0.42792489636674</v>
      </c>
    </row>
    <row r="93" customFormat="false" ht="15" hidden="false" customHeight="false" outlineLevel="0" collapsed="false">
      <c r="A93" s="2" t="str">
        <f aca="false">Veri!A93</f>
        <v>Morocco</v>
      </c>
      <c r="B93" s="4" t="n">
        <f aca="false">Veri!F93</f>
        <v>0.73479</v>
      </c>
      <c r="C93" s="4" t="n">
        <f aca="false">(B93-$H$3)/($H$4-$H$3)</f>
        <v>0.434678955525846</v>
      </c>
      <c r="D93" s="4" t="n">
        <f aca="false">Veri!H93</f>
        <v>0.60954</v>
      </c>
      <c r="E93" s="4" t="n">
        <f aca="false">(D93-$I$3)/($I$4-$I$3)</f>
        <v>0.594528163862473</v>
      </c>
    </row>
    <row r="94" customFormat="false" ht="15" hidden="false" customHeight="false" outlineLevel="0" collapsed="false">
      <c r="A94" s="2" t="str">
        <f aca="false">Veri!A94</f>
        <v>Macedonia</v>
      </c>
      <c r="B94" s="4" t="n">
        <f aca="false">Veri!F94</f>
        <v>0.91851</v>
      </c>
      <c r="C94" s="4" t="n">
        <f aca="false">(B94-$H$3)/($H$4-$H$3)</f>
        <v>0.543362004708889</v>
      </c>
      <c r="D94" s="4" t="n">
        <f aca="false">Veri!H94</f>
        <v>0.73545</v>
      </c>
      <c r="E94" s="4" t="n">
        <f aca="false">(D94-$I$3)/($I$4-$I$3)</f>
        <v>0.717337234820776</v>
      </c>
    </row>
    <row r="95" customFormat="false" ht="15" hidden="false" customHeight="false" outlineLevel="0" collapsed="false">
      <c r="A95" s="2" t="str">
        <f aca="false">Veri!A95</f>
        <v>Mozambique</v>
      </c>
      <c r="B95" s="4" t="n">
        <f aca="false">Veri!F95</f>
        <v>0.08308</v>
      </c>
      <c r="C95" s="4" t="n">
        <f aca="false">(B95-$H$3)/($H$4-$H$3)</f>
        <v>0.0491475491298021</v>
      </c>
      <c r="D95" s="4" t="n">
        <f aca="false">Veri!H95</f>
        <v>0.09131</v>
      </c>
      <c r="E95" s="4" t="n">
        <f aca="false">(D95-$I$3)/($I$4-$I$3)</f>
        <v>0.0890612045842478</v>
      </c>
    </row>
    <row r="96" customFormat="false" ht="15" hidden="false" customHeight="false" outlineLevel="0" collapsed="false">
      <c r="A96" s="2" t="str">
        <f aca="false">Veri!A96</f>
        <v>Albania</v>
      </c>
      <c r="B96" s="4" t="n">
        <f aca="false">Veri!F96</f>
        <v>0.87867</v>
      </c>
      <c r="C96" s="4" t="n">
        <f aca="false">(B96-$H$3)/($H$4-$H$3)</f>
        <v>0.519793897374617</v>
      </c>
      <c r="D96" s="4" t="n">
        <f aca="false">Veri!H96</f>
        <v>0.81325</v>
      </c>
      <c r="E96" s="4" t="n">
        <f aca="false">(D96-$I$3)/($I$4-$I$3)</f>
        <v>0.793221165569373</v>
      </c>
    </row>
    <row r="97" customFormat="false" ht="15" hidden="false" customHeight="false" outlineLevel="0" collapsed="false">
      <c r="A97" s="2" t="str">
        <f aca="false">Veri!A97</f>
        <v>Bosnia and Herzegovina</v>
      </c>
      <c r="B97" s="4" t="n">
        <f aca="false">Veri!F97</f>
        <v>0.83223</v>
      </c>
      <c r="C97" s="4" t="n">
        <f aca="false">(B97-$H$3)/($H$4-$H$3)</f>
        <v>0.492321434909667</v>
      </c>
      <c r="D97" s="4" t="n">
        <f aca="false">Veri!H97</f>
        <v>0.79081</v>
      </c>
      <c r="E97" s="4" t="n">
        <f aca="false">(D97-$I$3)/($I$4-$I$3)</f>
        <v>0.771333821019264</v>
      </c>
    </row>
    <row r="98" customFormat="false" ht="15" hidden="false" customHeight="false" outlineLevel="0" collapsed="false">
      <c r="A98" s="2" t="str">
        <f aca="false">Veri!A98</f>
        <v>Lesotho</v>
      </c>
      <c r="B98" s="4" t="n">
        <f aca="false">Veri!F98</f>
        <v>0.37545</v>
      </c>
      <c r="C98" s="4" t="n">
        <f aca="false">(B98-$H$3)/($H$4-$H$3)</f>
        <v>0.222104565729227</v>
      </c>
      <c r="D98" s="4" t="n">
        <f aca="false">Veri!H98</f>
        <v>0.07612</v>
      </c>
      <c r="E98" s="4" t="n">
        <f aca="false">(D98-$I$3)/($I$4-$I$3)</f>
        <v>0.0742453060229212</v>
      </c>
    </row>
    <row r="99" customFormat="false" ht="15" hidden="false" customHeight="false" outlineLevel="0" collapsed="false">
      <c r="A99" s="2" t="str">
        <f aca="false">Veri!A99</f>
        <v>Dominican Republic</v>
      </c>
      <c r="B99" s="4" t="n">
        <f aca="false">Veri!F99</f>
        <v>0.89537</v>
      </c>
      <c r="C99" s="4" t="n">
        <f aca="false">(B99-$H$3)/($H$4-$H$3)</f>
        <v>0.52967309899315</v>
      </c>
      <c r="D99" s="4" t="n">
        <f aca="false">Veri!H99</f>
        <v>0.66825</v>
      </c>
      <c r="E99" s="4" t="n">
        <f aca="false">(D99-$I$3)/($I$4-$I$3)</f>
        <v>0.651792245793709</v>
      </c>
    </row>
    <row r="100" customFormat="false" ht="15" hidden="false" customHeight="false" outlineLevel="0" collapsed="false">
      <c r="A100" s="2" t="str">
        <f aca="false">Veri!A100</f>
        <v>Laos</v>
      </c>
      <c r="B100" s="4" t="n">
        <f aca="false">Veri!F100</f>
        <v>0.59066</v>
      </c>
      <c r="C100" s="4" t="n">
        <f aca="false">(B100-$H$3)/($H$4-$H$3)</f>
        <v>0.349416121437276</v>
      </c>
      <c r="D100" s="4" t="n">
        <f aca="false">Veri!H100</f>
        <v>0.54909</v>
      </c>
      <c r="E100" s="4" t="n">
        <f aca="false">(D100-$I$3)/($I$4-$I$3)</f>
        <v>0.535566934893928</v>
      </c>
    </row>
    <row r="101" customFormat="false" ht="15" hidden="false" customHeight="false" outlineLevel="0" collapsed="false">
      <c r="A101" s="2" t="str">
        <f aca="false">Veri!A101</f>
        <v>Mongolia</v>
      </c>
      <c r="B101" s="4" t="n">
        <f aca="false">Veri!F101</f>
        <v>0.82819</v>
      </c>
      <c r="C101" s="4" t="n">
        <f aca="false">(B101-$H$3)/($H$4-$H$3)</f>
        <v>0.489931496314525</v>
      </c>
      <c r="D101" s="4" t="n">
        <f aca="false">Veri!H101</f>
        <v>0.60268</v>
      </c>
      <c r="E101" s="4" t="n">
        <f aca="false">(D101-$I$3)/($I$4-$I$3)</f>
        <v>0.587837112899293</v>
      </c>
    </row>
    <row r="102" customFormat="false" ht="15" hidden="false" customHeight="false" outlineLevel="0" collapsed="false">
      <c r="A102" s="2" t="str">
        <f aca="false">Veri!A102</f>
        <v>Swaziland</v>
      </c>
      <c r="B102" s="4" t="n">
        <f aca="false">Veri!F102</f>
        <v>0.71206</v>
      </c>
      <c r="C102" s="4" t="n">
        <f aca="false">(B102-$H$3)/($H$4-$H$3)</f>
        <v>0.421232593083376</v>
      </c>
      <c r="D102" s="4" t="n">
        <f aca="false">Veri!H102</f>
        <v>0.07566</v>
      </c>
      <c r="E102" s="4" t="n">
        <f aca="false">(D102-$I$3)/($I$4-$I$3)</f>
        <v>0.0737966349670812</v>
      </c>
    </row>
    <row r="103" customFormat="false" ht="15" hidden="false" customHeight="false" outlineLevel="0" collapsed="false">
      <c r="A103" s="2" t="str">
        <f aca="false">Veri!A103</f>
        <v>Greece</v>
      </c>
      <c r="B103" s="4" t="n">
        <f aca="false">Veri!F103</f>
        <v>1.15406</v>
      </c>
      <c r="C103" s="4" t="n">
        <f aca="false">(B103-$H$3)/($H$4-$H$3)</f>
        <v>0.682706073046935</v>
      </c>
      <c r="D103" s="4" t="n">
        <f aca="false">Veri!H103</f>
        <v>0.88213</v>
      </c>
      <c r="E103" s="4" t="n">
        <f aca="false">(D103-$I$3)/($I$4-$I$3)</f>
        <v>0.860404779322117</v>
      </c>
    </row>
    <row r="104" customFormat="false" ht="15" hidden="false" customHeight="false" outlineLevel="0" collapsed="false">
      <c r="A104" s="2" t="str">
        <f aca="false">Veri!A104</f>
        <v>Lebanon</v>
      </c>
      <c r="B104" s="4" t="n">
        <f aca="false">Veri!F104</f>
        <v>1.02564</v>
      </c>
      <c r="C104" s="4" t="n">
        <f aca="false">(B104-$H$3)/($H$4-$H$3)</f>
        <v>0.606736787307296</v>
      </c>
      <c r="D104" s="4" t="n">
        <f aca="false">Veri!H104</f>
        <v>0.83947</v>
      </c>
      <c r="E104" s="4" t="n">
        <f aca="false">(D104-$I$3)/($I$4-$I$3)</f>
        <v>0.818795415752256</v>
      </c>
    </row>
    <row r="105" customFormat="false" ht="15" hidden="false" customHeight="false" outlineLevel="0" collapsed="false">
      <c r="A105" s="2" t="str">
        <f aca="false">Veri!A105</f>
        <v>Hungary</v>
      </c>
      <c r="B105" s="4" t="n">
        <f aca="false">Veri!F105</f>
        <v>1.12094</v>
      </c>
      <c r="C105" s="4" t="n">
        <f aca="false">(B105-$H$3)/($H$4-$H$3)</f>
        <v>0.663113309118444</v>
      </c>
      <c r="D105" s="4" t="n">
        <f aca="false">Veri!H105</f>
        <v>0.75905</v>
      </c>
      <c r="E105" s="4" t="n">
        <f aca="false">(D105-$I$3)/($I$4-$I$3)</f>
        <v>0.740356010729091</v>
      </c>
    </row>
    <row r="106" customFormat="false" ht="15" hidden="false" customHeight="false" outlineLevel="0" collapsed="false">
      <c r="A106" s="2" t="str">
        <f aca="false">Veri!A106</f>
        <v>Honduras</v>
      </c>
      <c r="B106" s="4" t="n">
        <f aca="false">Veri!F106</f>
        <v>0.59532</v>
      </c>
      <c r="C106" s="4" t="n">
        <f aca="false">(B106-$H$3)/($H$4-$H$3)</f>
        <v>0.352172832787118</v>
      </c>
      <c r="D106" s="4" t="n">
        <f aca="false">Veri!H106</f>
        <v>0.6951</v>
      </c>
      <c r="E106" s="4" t="n">
        <f aca="false">(D106-$I$3)/($I$4-$I$3)</f>
        <v>0.67798098024872</v>
      </c>
    </row>
    <row r="107" customFormat="false" ht="15" hidden="false" customHeight="false" outlineLevel="0" collapsed="false">
      <c r="A107" s="2" t="str">
        <f aca="false">Veri!A107</f>
        <v>Tajikistan</v>
      </c>
      <c r="B107" s="4" t="n">
        <f aca="false">Veri!F107</f>
        <v>0.39047</v>
      </c>
      <c r="C107" s="4" t="n">
        <f aca="false">(B107-$H$3)/($H$4-$H$3)</f>
        <v>0.230989931496315</v>
      </c>
      <c r="D107" s="4" t="n">
        <f aca="false">Veri!H107</f>
        <v>0.57379</v>
      </c>
      <c r="E107" s="4" t="n">
        <f aca="false">(D107-$I$3)/($I$4-$I$3)</f>
        <v>0.559658619848817</v>
      </c>
    </row>
    <row r="108" customFormat="false" ht="15" hidden="false" customHeight="false" outlineLevel="0" collapsed="false">
      <c r="A108" s="2" t="str">
        <f aca="false">Veri!A108</f>
        <v>Tunisia</v>
      </c>
      <c r="B108" s="4" t="n">
        <f aca="false">Veri!F108</f>
        <v>0.88113</v>
      </c>
      <c r="C108" s="4" t="n">
        <f aca="false">(B108-$H$3)/($H$4-$H$3)</f>
        <v>0.521249157014233</v>
      </c>
      <c r="D108" s="4" t="n">
        <f aca="false">Veri!H108</f>
        <v>0.73793</v>
      </c>
      <c r="E108" s="4" t="n">
        <f aca="false">(D108-$I$3)/($I$4-$I$3)</f>
        <v>0.71975615703487</v>
      </c>
    </row>
    <row r="109" customFormat="false" ht="15" hidden="false" customHeight="false" outlineLevel="0" collapsed="false">
      <c r="A109" s="2" t="str">
        <f aca="false">Veri!A109</f>
        <v>Palestinian Territories</v>
      </c>
      <c r="B109" s="4" t="n">
        <f aca="false">Veri!F109</f>
        <v>0.59867</v>
      </c>
      <c r="C109" s="4" t="n">
        <f aca="false">(B109-$H$3)/($H$4-$H$3)</f>
        <v>0.354154588800417</v>
      </c>
      <c r="D109" s="4" t="n">
        <f aca="false">Veri!H109</f>
        <v>0.66015</v>
      </c>
      <c r="E109" s="4" t="n">
        <f aca="false">(D109-$I$3)/($I$4-$I$3)</f>
        <v>0.643891733723482</v>
      </c>
    </row>
    <row r="110" customFormat="false" ht="15" hidden="false" customHeight="false" outlineLevel="0" collapsed="false">
      <c r="A110" s="2" t="str">
        <f aca="false">Veri!A110</f>
        <v>Bangladesh</v>
      </c>
      <c r="B110" s="4" t="n">
        <f aca="false">Veri!F110</f>
        <v>0.39753</v>
      </c>
      <c r="C110" s="4" t="n">
        <f aca="false">(B110-$H$3)/($H$4-$H$3)</f>
        <v>0.235166408348221</v>
      </c>
      <c r="D110" s="4" t="n">
        <f aca="false">Veri!H110</f>
        <v>0.60164</v>
      </c>
      <c r="E110" s="4" t="n">
        <f aca="false">(D110-$I$3)/($I$4-$I$3)</f>
        <v>0.58682272616435</v>
      </c>
    </row>
    <row r="111" customFormat="false" ht="15" hidden="false" customHeight="false" outlineLevel="0" collapsed="false">
      <c r="A111" s="2" t="str">
        <f aca="false">Veri!A111</f>
        <v>Iran</v>
      </c>
      <c r="B111" s="4" t="n">
        <f aca="false">Veri!F111</f>
        <v>1.0088</v>
      </c>
      <c r="C111" s="4" t="n">
        <f aca="false">(B111-$H$3)/($H$4-$H$3)</f>
        <v>0.596774766034477</v>
      </c>
      <c r="D111" s="4" t="n">
        <f aca="false">Veri!H111</f>
        <v>0.69805</v>
      </c>
      <c r="E111" s="4" t="n">
        <f aca="false">(D111-$I$3)/($I$4-$I$3)</f>
        <v>0.680858327237259</v>
      </c>
    </row>
    <row r="112" customFormat="false" ht="15" hidden="false" customHeight="false" outlineLevel="0" collapsed="false">
      <c r="A112" s="2" t="str">
        <f aca="false">Veri!A112</f>
        <v>Ukraine</v>
      </c>
      <c r="B112" s="4" t="n">
        <f aca="false">Veri!F112</f>
        <v>0.79907</v>
      </c>
      <c r="C112" s="4" t="n">
        <f aca="false">(B112-$H$3)/($H$4-$H$3)</f>
        <v>0.472705008222809</v>
      </c>
      <c r="D112" s="4" t="n">
        <f aca="false">Veri!H112</f>
        <v>0.6739</v>
      </c>
      <c r="E112" s="4" t="n">
        <f aca="false">(D112-$I$3)/($I$4-$I$3)</f>
        <v>0.657303096805657</v>
      </c>
    </row>
    <row r="113" customFormat="false" ht="15" hidden="false" customHeight="false" outlineLevel="0" collapsed="false">
      <c r="A113" s="2" t="str">
        <f aca="false">Veri!A113</f>
        <v>Iraq</v>
      </c>
      <c r="B113" s="4" t="n">
        <f aca="false">Veri!F113</f>
        <v>0.98549</v>
      </c>
      <c r="C113" s="4" t="n">
        <f aca="false">(B113-$H$3)/($H$4-$H$3)</f>
        <v>0.582985293595674</v>
      </c>
      <c r="D113" s="4" t="n">
        <f aca="false">Veri!H113</f>
        <v>0.60237</v>
      </c>
      <c r="E113" s="4" t="n">
        <f aca="false">(D113-$I$3)/($I$4-$I$3)</f>
        <v>0.587534747622531</v>
      </c>
    </row>
    <row r="114" customFormat="false" ht="15" hidden="false" customHeight="false" outlineLevel="0" collapsed="false">
      <c r="A114" s="2" t="str">
        <f aca="false">Veri!A114</f>
        <v>South Africa</v>
      </c>
      <c r="B114" s="4" t="n">
        <f aca="false">Veri!F114</f>
        <v>0.92049</v>
      </c>
      <c r="C114" s="4" t="n">
        <f aca="false">(B114-$H$3)/($H$4-$H$3)</f>
        <v>0.544533311248092</v>
      </c>
      <c r="D114" s="4" t="n">
        <f aca="false">Veri!H114</f>
        <v>0.27688</v>
      </c>
      <c r="E114" s="4" t="n">
        <f aca="false">(D114-$I$3)/($I$4-$I$3)</f>
        <v>0.270060960741283</v>
      </c>
    </row>
    <row r="115" customFormat="false" ht="15" hidden="false" customHeight="false" outlineLevel="0" collapsed="false">
      <c r="A115" s="2" t="str">
        <f aca="false">Veri!A115</f>
        <v>Ghana</v>
      </c>
      <c r="B115" s="4" t="n">
        <f aca="false">Veri!F115</f>
        <v>0.54558</v>
      </c>
      <c r="C115" s="4" t="n">
        <f aca="false">(B115-$H$3)/($H$4-$H$3)</f>
        <v>0.32274819275683</v>
      </c>
      <c r="D115" s="4" t="n">
        <f aca="false">Veri!H115</f>
        <v>0.40132</v>
      </c>
      <c r="E115" s="4" t="n">
        <f aca="false">(D115-$I$3)/($I$4-$I$3)</f>
        <v>0.391436235064618</v>
      </c>
    </row>
    <row r="116" customFormat="false" ht="15" hidden="false" customHeight="false" outlineLevel="0" collapsed="false">
      <c r="A116" s="2" t="str">
        <f aca="false">Veri!A116</f>
        <v>Zimbabwe</v>
      </c>
      <c r="B116" s="4" t="n">
        <f aca="false">Veri!F116</f>
        <v>0.271</v>
      </c>
      <c r="C116" s="4" t="n">
        <f aca="false">(B116-$H$3)/($H$4-$H$3)</f>
        <v>0.160315187941458</v>
      </c>
      <c r="D116" s="4" t="n">
        <f aca="false">Veri!H116</f>
        <v>0.33475</v>
      </c>
      <c r="E116" s="4" t="n">
        <f aca="false">(D116-$I$3)/($I$4-$I$3)</f>
        <v>0.326505730309681</v>
      </c>
    </row>
    <row r="117" customFormat="false" ht="15" hidden="false" customHeight="false" outlineLevel="0" collapsed="false">
      <c r="A117" s="2" t="str">
        <f aca="false">Veri!A117</f>
        <v>Liberia</v>
      </c>
      <c r="B117" s="4" t="n">
        <f aca="false">Veri!F117</f>
        <v>0.0712</v>
      </c>
      <c r="C117" s="4" t="n">
        <f aca="false">(B117-$H$3)/($H$4-$H$3)</f>
        <v>0.0421197098945824</v>
      </c>
      <c r="D117" s="4" t="n">
        <f aca="false">Veri!H117</f>
        <v>0.34201</v>
      </c>
      <c r="E117" s="4" t="n">
        <f aca="false">(D117-$I$3)/($I$4-$I$3)</f>
        <v>0.333586930017069</v>
      </c>
    </row>
    <row r="118" customFormat="false" ht="15" hidden="false" customHeight="false" outlineLevel="0" collapsed="false">
      <c r="A118" s="2" t="str">
        <f aca="false">Veri!A118</f>
        <v>India</v>
      </c>
      <c r="B118" s="4" t="n">
        <f aca="false">Veri!F118</f>
        <v>0.64499</v>
      </c>
      <c r="C118" s="4" t="n">
        <f aca="false">(B118-$H$3)/($H$4-$H$3)</f>
        <v>0.381556062990263</v>
      </c>
      <c r="D118" s="4" t="n">
        <f aca="false">Veri!H118</f>
        <v>0.51529</v>
      </c>
      <c r="E118" s="4" t="n">
        <f aca="false">(D118-$I$3)/($I$4-$I$3)</f>
        <v>0.502599366008291</v>
      </c>
    </row>
    <row r="119" customFormat="false" ht="15" hidden="false" customHeight="false" outlineLevel="0" collapsed="false">
      <c r="A119" s="2" t="str">
        <f aca="false">Veri!A119</f>
        <v>Sudan</v>
      </c>
      <c r="B119" s="4" t="n">
        <f aca="false">Veri!F119</f>
        <v>0.52107</v>
      </c>
      <c r="C119" s="4" t="n">
        <f aca="false">(B119-$H$3)/($H$4-$H$3)</f>
        <v>0.308248837566995</v>
      </c>
      <c r="D119" s="4" t="n">
        <f aca="false">Veri!H119</f>
        <v>0.36878</v>
      </c>
      <c r="E119" s="4" t="n">
        <f aca="false">(D119-$I$3)/($I$4-$I$3)</f>
        <v>0.359697634723238</v>
      </c>
    </row>
    <row r="120" customFormat="false" ht="15" hidden="false" customHeight="false" outlineLevel="0" collapsed="false">
      <c r="A120" s="2" t="str">
        <f aca="false">Veri!A120</f>
        <v>Haiti</v>
      </c>
      <c r="B120" s="4" t="n">
        <f aca="false">Veri!F120</f>
        <v>0.26673</v>
      </c>
      <c r="C120" s="4" t="n">
        <f aca="false">(B120-$H$3)/($H$4-$H$3)</f>
        <v>0.157789188485702</v>
      </c>
      <c r="D120" s="4" t="n">
        <f aca="false">Veri!H120</f>
        <v>0.38847</v>
      </c>
      <c r="E120" s="4" t="n">
        <f aca="false">(D120-$I$3)/($I$4-$I$3)</f>
        <v>0.378902706656913</v>
      </c>
    </row>
    <row r="121" customFormat="false" ht="15" hidden="false" customHeight="false" outlineLevel="0" collapsed="false">
      <c r="A121" s="2" t="str">
        <f aca="false">Veri!A121</f>
        <v>Congo (Kinshasa)</v>
      </c>
      <c r="B121" s="4" t="n">
        <f aca="false">Veri!F121</f>
        <v>0</v>
      </c>
      <c r="C121" s="4" t="n">
        <f aca="false">(B121-$H$3)/($H$4-$H$3)</f>
        <v>0</v>
      </c>
      <c r="D121" s="4" t="n">
        <f aca="false">Veri!H121</f>
        <v>0.09806</v>
      </c>
      <c r="E121" s="4" t="n">
        <f aca="false">(D121-$I$3)/($I$4-$I$3)</f>
        <v>0.09564496464277</v>
      </c>
    </row>
    <row r="122" customFormat="false" ht="15" hidden="false" customHeight="false" outlineLevel="0" collapsed="false">
      <c r="A122" s="2" t="str">
        <f aca="false">Veri!A122</f>
        <v>Nepal</v>
      </c>
      <c r="B122" s="4" t="n">
        <f aca="false">Veri!F122</f>
        <v>0.35997</v>
      </c>
      <c r="C122" s="4" t="n">
        <f aca="false">(B122-$H$3)/($H$4-$H$3)</f>
        <v>0.212947078240911</v>
      </c>
      <c r="D122" s="4" t="n">
        <f aca="false">Veri!H122</f>
        <v>0.56874</v>
      </c>
      <c r="E122" s="4" t="n">
        <f aca="false">(D122-$I$3)/($I$4-$I$3)</f>
        <v>0.554732991953182</v>
      </c>
    </row>
    <row r="123" customFormat="false" ht="15" hidden="false" customHeight="false" outlineLevel="0" collapsed="false">
      <c r="A123" s="2" t="str">
        <f aca="false">Veri!A123</f>
        <v>Ethiopia</v>
      </c>
      <c r="B123" s="4" t="n">
        <f aca="false">Veri!F123</f>
        <v>0.19073</v>
      </c>
      <c r="C123" s="4" t="n">
        <f aca="false">(B123-$H$3)/($H$4-$H$3)</f>
        <v>0.11282994758699</v>
      </c>
      <c r="D123" s="4" t="n">
        <f aca="false">Veri!H123</f>
        <v>0.44055</v>
      </c>
      <c r="E123" s="4" t="n">
        <f aca="false">(D123-$I$3)/($I$4-$I$3)</f>
        <v>0.42970007315289</v>
      </c>
    </row>
    <row r="124" customFormat="false" ht="15" hidden="false" customHeight="false" outlineLevel="0" collapsed="false">
      <c r="A124" s="2" t="str">
        <f aca="false">Veri!A124</f>
        <v>Sierra Leone</v>
      </c>
      <c r="B124" s="4" t="n">
        <f aca="false">Veri!F124</f>
        <v>0.33024</v>
      </c>
      <c r="C124" s="4" t="n">
        <f aca="false">(B124-$H$3)/($H$4-$H$3)</f>
        <v>0.195359733084086</v>
      </c>
      <c r="D124" s="4" t="n">
        <f aca="false">Veri!H124</f>
        <v>0</v>
      </c>
      <c r="E124" s="4" t="n">
        <f aca="false">(D124-$I$3)/($I$4-$I$3)</f>
        <v>0</v>
      </c>
    </row>
    <row r="125" customFormat="false" ht="15" hidden="false" customHeight="false" outlineLevel="0" collapsed="false">
      <c r="A125" s="2" t="str">
        <f aca="false">Veri!A125</f>
        <v>Mauritania</v>
      </c>
      <c r="B125" s="4" t="n">
        <f aca="false">Veri!F125</f>
        <v>0.45407</v>
      </c>
      <c r="C125" s="4" t="n">
        <f aca="false">(B125-$H$3)/($H$4-$H$3)</f>
        <v>0.268613717301026</v>
      </c>
      <c r="D125" s="4" t="n">
        <f aca="false">Veri!H125</f>
        <v>0.35874</v>
      </c>
      <c r="E125" s="4" t="n">
        <f aca="false">(D125-$I$3)/($I$4-$I$3)</f>
        <v>0.349904901243599</v>
      </c>
    </row>
    <row r="126" customFormat="false" ht="15" hidden="false" customHeight="false" outlineLevel="0" collapsed="false">
      <c r="A126" s="2" t="str">
        <f aca="false">Veri!A126</f>
        <v>Kenya</v>
      </c>
      <c r="B126" s="4" t="n">
        <f aca="false">Veri!F126</f>
        <v>0.36471</v>
      </c>
      <c r="C126" s="4" t="n">
        <f aca="false">(B126-$H$3)/($H$4-$H$3)</f>
        <v>0.215751115107488</v>
      </c>
      <c r="D126" s="4" t="n">
        <f aca="false">Veri!H126</f>
        <v>0.41435</v>
      </c>
      <c r="E126" s="4" t="n">
        <f aca="false">(D126-$I$3)/($I$4-$I$3)</f>
        <v>0.404145330407218</v>
      </c>
    </row>
    <row r="127" customFormat="false" ht="15" hidden="false" customHeight="false" outlineLevel="0" collapsed="false">
      <c r="A127" s="2" t="str">
        <f aca="false">Veri!A127</f>
        <v>Djibouti</v>
      </c>
      <c r="B127" s="4" t="n">
        <f aca="false">Veri!F127</f>
        <v>0.44025</v>
      </c>
      <c r="C127" s="4" t="n">
        <f aca="false">(B127-$H$3)/($H$4-$H$3)</f>
        <v>0.260438234284971</v>
      </c>
      <c r="D127" s="4" t="n">
        <f aca="false">Veri!H127</f>
        <v>0.36291</v>
      </c>
      <c r="E127" s="4" t="n">
        <f aca="false">(D127-$I$3)/($I$4-$I$3)</f>
        <v>0.353972201901975</v>
      </c>
    </row>
    <row r="128" customFormat="false" ht="15" hidden="false" customHeight="false" outlineLevel="0" collapsed="false">
      <c r="A128" s="2" t="str">
        <f aca="false">Veri!A128</f>
        <v>Armenia</v>
      </c>
      <c r="B128" s="4" t="n">
        <f aca="false">Veri!F128</f>
        <v>0.76821</v>
      </c>
      <c r="C128" s="4" t="n">
        <f aca="false">(B128-$H$3)/($H$4-$H$3)</f>
        <v>0.454449190142095</v>
      </c>
      <c r="D128" s="4" t="n">
        <f aca="false">Veri!H128</f>
        <v>0.7299</v>
      </c>
      <c r="E128" s="4" t="n">
        <f aca="false">(D128-$I$3)/($I$4-$I$3)</f>
        <v>0.711923920994879</v>
      </c>
    </row>
    <row r="129" customFormat="false" ht="15" hidden="false" customHeight="false" outlineLevel="0" collapsed="false">
      <c r="A129" s="2" t="str">
        <f aca="false">Veri!A129</f>
        <v>Botswana</v>
      </c>
      <c r="B129" s="4" t="n">
        <f aca="false">Veri!F129</f>
        <v>0.99355</v>
      </c>
      <c r="C129" s="4" t="n">
        <f aca="false">(B129-$H$3)/($H$4-$H$3)</f>
        <v>0.587753339406775</v>
      </c>
      <c r="D129" s="4" t="n">
        <f aca="false">Veri!H129</f>
        <v>0.04776</v>
      </c>
      <c r="E129" s="4" t="n">
        <f aca="false">(D129-$I$3)/($I$4-$I$3)</f>
        <v>0.0465837600585223</v>
      </c>
    </row>
    <row r="130" customFormat="false" ht="15" hidden="false" customHeight="false" outlineLevel="0" collapsed="false">
      <c r="A130" s="2" t="str">
        <f aca="false">Veri!A130</f>
        <v>Myanmar</v>
      </c>
      <c r="B130" s="4" t="n">
        <f aca="false">Veri!F130</f>
        <v>0.27108</v>
      </c>
      <c r="C130" s="4" t="n">
        <f aca="false">(B130-$H$3)/($H$4-$H$3)</f>
        <v>0.160362513458194</v>
      </c>
      <c r="D130" s="4" t="n">
        <f aca="false">Veri!H130</f>
        <v>0.48246</v>
      </c>
      <c r="E130" s="4" t="n">
        <f aca="false">(D130-$I$3)/($I$4-$I$3)</f>
        <v>0.470577907827359</v>
      </c>
    </row>
    <row r="131" customFormat="false" ht="15" hidden="false" customHeight="false" outlineLevel="0" collapsed="false">
      <c r="A131" s="2" t="str">
        <f aca="false">Veri!A131</f>
        <v>Georgia</v>
      </c>
      <c r="B131" s="4" t="n">
        <f aca="false">Veri!F131</f>
        <v>0.7419</v>
      </c>
      <c r="C131" s="4" t="n">
        <f aca="false">(B131-$H$3)/($H$4-$H$3)</f>
        <v>0.438885010825712</v>
      </c>
      <c r="D131" s="4" t="n">
        <f aca="false">Veri!H131</f>
        <v>0.72926</v>
      </c>
      <c r="E131" s="4" t="n">
        <f aca="false">(D131-$I$3)/($I$4-$I$3)</f>
        <v>0.711299683004145</v>
      </c>
    </row>
    <row r="132" customFormat="false" ht="15" hidden="false" customHeight="false" outlineLevel="0" collapsed="false">
      <c r="A132" s="2" t="str">
        <f aca="false">Veri!A132</f>
        <v>Malawi</v>
      </c>
      <c r="B132" s="4" t="n">
        <f aca="false">Veri!F132</f>
        <v>0.01604</v>
      </c>
      <c r="C132" s="4" t="n">
        <f aca="false">(B132-$H$3)/($H$4-$H$3)</f>
        <v>0.00948876610546491</v>
      </c>
      <c r="D132" s="4" t="n">
        <f aca="false">Veri!H132</f>
        <v>0.22562</v>
      </c>
      <c r="E132" s="4" t="n">
        <f aca="false">(D132-$I$3)/($I$4-$I$3)</f>
        <v>0.220063399170934</v>
      </c>
    </row>
    <row r="133" customFormat="false" ht="15" hidden="false" customHeight="false" outlineLevel="0" collapsed="false">
      <c r="A133" s="2" t="str">
        <f aca="false">Veri!A133</f>
        <v>Sri Lanka</v>
      </c>
      <c r="B133" s="4" t="n">
        <f aca="false">Veri!F133</f>
        <v>0.83524</v>
      </c>
      <c r="C133" s="4" t="n">
        <f aca="false">(B133-$H$3)/($H$4-$H$3)</f>
        <v>0.49410205747684</v>
      </c>
      <c r="D133" s="4" t="n">
        <f aca="false">Veri!H133</f>
        <v>0.70806</v>
      </c>
      <c r="E133" s="4" t="n">
        <f aca="false">(D133-$I$3)/($I$4-$I$3)</f>
        <v>0.690621799561083</v>
      </c>
    </row>
    <row r="134" customFormat="false" ht="15" hidden="false" customHeight="false" outlineLevel="0" collapsed="false">
      <c r="A134" s="2" t="str">
        <f aca="false">Veri!A134</f>
        <v>Cameroon</v>
      </c>
      <c r="B134" s="4" t="n">
        <f aca="false">Veri!F134</f>
        <v>0.4225</v>
      </c>
      <c r="C134" s="4" t="n">
        <f aca="false">(B134-$H$3)/($H$4-$H$3)</f>
        <v>0.249937885259285</v>
      </c>
      <c r="D134" s="4" t="n">
        <f aca="false">Veri!H134</f>
        <v>0.23402</v>
      </c>
      <c r="E134" s="4" t="n">
        <f aca="false">(D134-$I$3)/($I$4-$I$3)</f>
        <v>0.228256522799317</v>
      </c>
    </row>
    <row r="135" customFormat="false" ht="15" hidden="false" customHeight="false" outlineLevel="0" collapsed="false">
      <c r="A135" s="2" t="str">
        <f aca="false">Veri!A135</f>
        <v>Bulgaria</v>
      </c>
      <c r="B135" s="4" t="n">
        <f aca="false">Veri!F135</f>
        <v>1.01216</v>
      </c>
      <c r="C135" s="4" t="n">
        <f aca="false">(B135-$H$3)/($H$4-$H$3)</f>
        <v>0.598762437737367</v>
      </c>
      <c r="D135" s="4" t="n">
        <f aca="false">Veri!H135</f>
        <v>0.76649</v>
      </c>
      <c r="E135" s="4" t="n">
        <f aca="false">(D135-$I$3)/($I$4-$I$3)</f>
        <v>0.747612777371373</v>
      </c>
    </row>
    <row r="136" customFormat="false" ht="15" hidden="false" customHeight="false" outlineLevel="0" collapsed="false">
      <c r="A136" s="2" t="str">
        <f aca="false">Veri!A136</f>
        <v>Egypt</v>
      </c>
      <c r="B136" s="4" t="n">
        <f aca="false">Veri!F136</f>
        <v>0.8818</v>
      </c>
      <c r="C136" s="4" t="n">
        <f aca="false">(B136-$H$3)/($H$4-$H$3)</f>
        <v>0.521645508216893</v>
      </c>
      <c r="D136" s="4" t="n">
        <f aca="false">Veri!H136</f>
        <v>0.61712</v>
      </c>
      <c r="E136" s="4" t="n">
        <f aca="false">(D136-$I$3)/($I$4-$I$3)</f>
        <v>0.601921482565228</v>
      </c>
    </row>
    <row r="137" customFormat="false" ht="15" hidden="false" customHeight="false" outlineLevel="0" collapsed="false">
      <c r="A137" s="2" t="str">
        <f aca="false">Veri!A137</f>
        <v>Yemen</v>
      </c>
      <c r="B137" s="4" t="n">
        <f aca="false">Veri!F137</f>
        <v>0.54649</v>
      </c>
      <c r="C137" s="4" t="n">
        <f aca="false">(B137-$H$3)/($H$4-$H$3)</f>
        <v>0.323286520509696</v>
      </c>
      <c r="D137" s="4" t="n">
        <f aca="false">Veri!H137</f>
        <v>0.40064</v>
      </c>
      <c r="E137" s="4" t="n">
        <f aca="false">(D137-$I$3)/($I$4-$I$3)</f>
        <v>0.390772982199464</v>
      </c>
    </row>
    <row r="138" customFormat="false" ht="15" hidden="false" customHeight="false" outlineLevel="0" collapsed="false">
      <c r="A138" s="2" t="str">
        <f aca="false">Veri!A138</f>
        <v>Angola</v>
      </c>
      <c r="B138" s="4" t="n">
        <f aca="false">Veri!F138</f>
        <v>0.75778</v>
      </c>
      <c r="C138" s="4" t="n">
        <f aca="false">(B138-$H$3)/($H$4-$H$3)</f>
        <v>0.448279125897706</v>
      </c>
      <c r="D138" s="4" t="n">
        <f aca="false">Veri!H138</f>
        <v>0.16683</v>
      </c>
      <c r="E138" s="4" t="n">
        <f aca="false">(D138-$I$3)/($I$4-$I$3)</f>
        <v>0.162721287490856</v>
      </c>
    </row>
    <row r="139" customFormat="false" ht="15" hidden="false" customHeight="false" outlineLevel="0" collapsed="false">
      <c r="A139" s="2" t="str">
        <f aca="false">Veri!A139</f>
        <v>Mali</v>
      </c>
      <c r="B139" s="4" t="n">
        <f aca="false">Veri!F139</f>
        <v>0.26074</v>
      </c>
      <c r="C139" s="4" t="n">
        <f aca="false">(B139-$H$3)/($H$4-$H$3)</f>
        <v>0.154245690420132</v>
      </c>
      <c r="D139" s="4" t="n">
        <f aca="false">Veri!H139</f>
        <v>0.20583</v>
      </c>
      <c r="E139" s="4" t="n">
        <f aca="false">(D139-$I$3)/($I$4-$I$3)</f>
        <v>0.200760790051207</v>
      </c>
    </row>
    <row r="140" customFormat="false" ht="15" hidden="false" customHeight="false" outlineLevel="0" collapsed="false">
      <c r="A140" s="2" t="str">
        <f aca="false">Veri!A140</f>
        <v>Congo (Brazzaville)</v>
      </c>
      <c r="B140" s="4" t="n">
        <f aca="false">Veri!F140</f>
        <v>0.67866</v>
      </c>
      <c r="C140" s="4" t="n">
        <f aca="false">(B140-$H$3)/($H$4-$H$3)</f>
        <v>0.40147418984631</v>
      </c>
      <c r="D140" s="4" t="n">
        <f aca="false">Veri!H140</f>
        <v>0.31051</v>
      </c>
      <c r="E140" s="4" t="n">
        <f aca="false">(D140-$I$3)/($I$4-$I$3)</f>
        <v>0.302862716410632</v>
      </c>
    </row>
    <row r="141" customFormat="false" ht="15" hidden="false" customHeight="false" outlineLevel="0" collapsed="false">
      <c r="A141" s="2" t="str">
        <f aca="false">Veri!A141</f>
        <v>Comoros</v>
      </c>
      <c r="B141" s="4" t="n">
        <f aca="false">Veri!F141</f>
        <v>0.23906</v>
      </c>
      <c r="C141" s="4" t="n">
        <f aca="false">(B141-$H$3)/($H$4-$H$3)</f>
        <v>0.141420475384816</v>
      </c>
      <c r="D141" s="4" t="n">
        <f aca="false">Veri!H141</f>
        <v>0.36315</v>
      </c>
      <c r="E141" s="4" t="n">
        <f aca="false">(D141-$I$3)/($I$4-$I$3)</f>
        <v>0.3542062911485</v>
      </c>
    </row>
    <row r="142" customFormat="false" ht="15" hidden="false" customHeight="false" outlineLevel="0" collapsed="false">
      <c r="A142" s="2" t="str">
        <f aca="false">Veri!A142</f>
        <v>Uganda</v>
      </c>
      <c r="B142" s="4" t="n">
        <f aca="false">Veri!F142</f>
        <v>0.21102</v>
      </c>
      <c r="C142" s="4" t="n">
        <f aca="false">(B142-$H$3)/($H$4-$H$3)</f>
        <v>0.124832881769028</v>
      </c>
      <c r="D142" s="4" t="n">
        <f aca="false">Veri!H142</f>
        <v>0.33861</v>
      </c>
      <c r="E142" s="4" t="n">
        <f aca="false">(D142-$I$3)/($I$4-$I$3)</f>
        <v>0.330270665691295</v>
      </c>
    </row>
    <row r="143" customFormat="false" ht="15" hidden="false" customHeight="false" outlineLevel="0" collapsed="false">
      <c r="A143" s="2" t="str">
        <f aca="false">Veri!A143</f>
        <v>Senegal</v>
      </c>
      <c r="B143" s="4" t="n">
        <f aca="false">Veri!F143</f>
        <v>0.36498</v>
      </c>
      <c r="C143" s="4" t="n">
        <f aca="false">(B143-$H$3)/($H$4-$H$3)</f>
        <v>0.21591083872647</v>
      </c>
      <c r="D143" s="4" t="n">
        <f aca="false">Veri!H143</f>
        <v>0.4354</v>
      </c>
      <c r="E143" s="4" t="n">
        <f aca="false">(D143-$I$3)/($I$4-$I$3)</f>
        <v>0.424676908071202</v>
      </c>
    </row>
    <row r="144" customFormat="false" ht="15" hidden="false" customHeight="false" outlineLevel="0" collapsed="false">
      <c r="A144" s="2" t="str">
        <f aca="false">Veri!A144</f>
        <v>Gabon</v>
      </c>
      <c r="B144" s="4" t="n">
        <f aca="false">Veri!F144</f>
        <v>1.06024</v>
      </c>
      <c r="C144" s="4" t="n">
        <f aca="false">(B144-$H$3)/($H$4-$H$3)</f>
        <v>0.627205073295394</v>
      </c>
      <c r="D144" s="4" t="n">
        <f aca="false">Veri!H144</f>
        <v>0.43372</v>
      </c>
      <c r="E144" s="4" t="n">
        <f aca="false">(D144-$I$3)/($I$4-$I$3)</f>
        <v>0.423038283345525</v>
      </c>
    </row>
    <row r="145" customFormat="false" ht="15" hidden="false" customHeight="false" outlineLevel="0" collapsed="false">
      <c r="A145" s="2" t="str">
        <f aca="false">Veri!A145</f>
        <v>Niger</v>
      </c>
      <c r="B145" s="4" t="n">
        <f aca="false">Veri!F145</f>
        <v>0.0694</v>
      </c>
      <c r="C145" s="4" t="n">
        <f aca="false">(B145-$H$3)/($H$4-$H$3)</f>
        <v>0.041054885768034</v>
      </c>
      <c r="D145" s="4" t="n">
        <f aca="false">Veri!H145</f>
        <v>0.29707</v>
      </c>
      <c r="E145" s="4" t="n">
        <f aca="false">(D145-$I$3)/($I$4-$I$3)</f>
        <v>0.289753718605218</v>
      </c>
    </row>
    <row r="146" customFormat="false" ht="15" hidden="false" customHeight="false" outlineLevel="0" collapsed="false">
      <c r="A146" s="2" t="str">
        <f aca="false">Veri!A146</f>
        <v>Cambodia</v>
      </c>
      <c r="B146" s="4" t="n">
        <f aca="false">Veri!F146</f>
        <v>0.46038</v>
      </c>
      <c r="C146" s="4" t="n">
        <f aca="false">(B146-$H$3)/($H$4-$H$3)</f>
        <v>0.272346517433537</v>
      </c>
      <c r="D146" s="4" t="n">
        <f aca="false">Veri!H146</f>
        <v>0.61114</v>
      </c>
      <c r="E146" s="4" t="n">
        <f aca="false">(D146-$I$3)/($I$4-$I$3)</f>
        <v>0.596088758839308</v>
      </c>
    </row>
    <row r="147" customFormat="false" ht="15" hidden="false" customHeight="false" outlineLevel="0" collapsed="false">
      <c r="A147" s="2" t="str">
        <f aca="false">Veri!A147</f>
        <v>Tanzania</v>
      </c>
      <c r="B147" s="4" t="n">
        <f aca="false">Veri!F147</f>
        <v>0.2852</v>
      </c>
      <c r="C147" s="4" t="n">
        <f aca="false">(B147-$H$3)/($H$4-$H$3)</f>
        <v>0.168715467162007</v>
      </c>
      <c r="D147" s="4" t="n">
        <f aca="false">Veri!H147</f>
        <v>0.38215</v>
      </c>
      <c r="E147" s="4" t="n">
        <f aca="false">(D147-$I$3)/($I$4-$I$3)</f>
        <v>0.372738356498415</v>
      </c>
    </row>
    <row r="148" customFormat="false" ht="15" hidden="false" customHeight="false" outlineLevel="0" collapsed="false">
      <c r="A148" s="2" t="str">
        <f aca="false">Veri!A148</f>
        <v>Madagascar</v>
      </c>
      <c r="B148" s="4" t="n">
        <f aca="false">Veri!F148</f>
        <v>0.20824</v>
      </c>
      <c r="C148" s="4" t="n">
        <f aca="false">(B148-$H$3)/($H$4-$H$3)</f>
        <v>0.12318832006247</v>
      </c>
      <c r="D148" s="4" t="n">
        <f aca="false">Veri!H148</f>
        <v>0.46721</v>
      </c>
      <c r="E148" s="4" t="n">
        <f aca="false">(D148-$I$3)/($I$4-$I$3)</f>
        <v>0.455703486954401</v>
      </c>
    </row>
    <row r="149" customFormat="false" ht="15" hidden="false" customHeight="false" outlineLevel="0" collapsed="false">
      <c r="A149" s="2" t="str">
        <f aca="false">Veri!A149</f>
        <v>Central African Republic</v>
      </c>
      <c r="B149" s="4" t="n">
        <f aca="false">Veri!F149</f>
        <v>0.0785</v>
      </c>
      <c r="C149" s="4" t="n">
        <f aca="false">(B149-$H$3)/($H$4-$H$3)</f>
        <v>0.0464381632966955</v>
      </c>
      <c r="D149" s="4" t="n">
        <f aca="false">Veri!H149</f>
        <v>0.06699</v>
      </c>
      <c r="E149" s="4" t="n">
        <f aca="false">(D149-$I$3)/($I$4-$I$3)</f>
        <v>0.065340160936357</v>
      </c>
    </row>
    <row r="150" customFormat="false" ht="15" hidden="false" customHeight="false" outlineLevel="0" collapsed="false">
      <c r="A150" s="2" t="str">
        <f aca="false">Veri!A150</f>
        <v>Chad</v>
      </c>
      <c r="B150" s="4" t="n">
        <f aca="false">Veri!F150</f>
        <v>0.34193</v>
      </c>
      <c r="C150" s="4" t="n">
        <f aca="false">(B150-$H$3)/($H$4-$H$3)</f>
        <v>0.202275174217058</v>
      </c>
      <c r="D150" s="4" t="n">
        <f aca="false">Veri!H150</f>
        <v>0.1501</v>
      </c>
      <c r="E150" s="4" t="n">
        <f aca="false">(D150-$I$3)/($I$4-$I$3)</f>
        <v>0.146403316264326</v>
      </c>
    </row>
    <row r="151" customFormat="false" ht="15" hidden="false" customHeight="false" outlineLevel="0" collapsed="false">
      <c r="A151" s="2" t="str">
        <f aca="false">Veri!A151</f>
        <v>Guinea</v>
      </c>
      <c r="B151" s="4" t="n">
        <f aca="false">Veri!F151</f>
        <v>0.17417</v>
      </c>
      <c r="C151" s="4" t="n">
        <f aca="false">(B151-$H$3)/($H$4-$H$3)</f>
        <v>0.103033565622745</v>
      </c>
      <c r="D151" s="4" t="n">
        <f aca="false">Veri!H151</f>
        <v>0.24009</v>
      </c>
      <c r="E151" s="4" t="n">
        <f aca="false">(D151-$I$3)/($I$4-$I$3)</f>
        <v>0.234177029992685</v>
      </c>
    </row>
    <row r="152" customFormat="false" ht="15" hidden="false" customHeight="false" outlineLevel="0" collapsed="false">
      <c r="A152" s="2" t="str">
        <f aca="false">Veri!A152</f>
        <v>Ivory Coast</v>
      </c>
      <c r="B152" s="4" t="n">
        <f aca="false">Veri!F152</f>
        <v>0.46534</v>
      </c>
      <c r="C152" s="4" t="n">
        <f aca="false">(B152-$H$3)/($H$4-$H$3)</f>
        <v>0.275280699471137</v>
      </c>
      <c r="D152" s="4" t="n">
        <f aca="false">Veri!H152</f>
        <v>0.15185</v>
      </c>
      <c r="E152" s="4" t="n">
        <f aca="false">(D152-$I$3)/($I$4-$I$3)</f>
        <v>0.148110217020239</v>
      </c>
    </row>
    <row r="153" customFormat="false" ht="15" hidden="false" customHeight="false" outlineLevel="0" collapsed="false">
      <c r="A153" s="2" t="str">
        <f aca="false">Veri!A153</f>
        <v>Burkina Faso</v>
      </c>
      <c r="B153" s="4" t="n">
        <f aca="false">Veri!F153</f>
        <v>0.25812</v>
      </c>
      <c r="C153" s="4" t="n">
        <f aca="false">(B153-$H$3)/($H$4-$H$3)</f>
        <v>0.152695779747045</v>
      </c>
      <c r="D153" s="4" t="n">
        <f aca="false">Veri!H153</f>
        <v>0.27125</v>
      </c>
      <c r="E153" s="4" t="n">
        <f aca="false">(D153-$I$3)/($I$4-$I$3)</f>
        <v>0.264569617166545</v>
      </c>
    </row>
    <row r="154" customFormat="false" ht="15" hidden="false" customHeight="false" outlineLevel="0" collapsed="false">
      <c r="A154" s="2" t="str">
        <f aca="false">Veri!A154</f>
        <v>Afghanistan</v>
      </c>
      <c r="B154" s="4" t="n">
        <f aca="false">Veri!F154</f>
        <v>0.31982</v>
      </c>
      <c r="C154" s="4" t="n">
        <f aca="false">(B154-$H$3)/($H$4-$H$3)</f>
        <v>0.189195584529289</v>
      </c>
      <c r="D154" s="4" t="n">
        <f aca="false">Veri!H154</f>
        <v>0.30335</v>
      </c>
      <c r="E154" s="4" t="n">
        <f aca="false">(D154-$I$3)/($I$4-$I$3)</f>
        <v>0.295879053889295</v>
      </c>
    </row>
    <row r="155" customFormat="false" ht="15" hidden="false" customHeight="false" outlineLevel="0" collapsed="false">
      <c r="A155" s="2" t="str">
        <f aca="false">Veri!A155</f>
        <v>Rwanda</v>
      </c>
      <c r="B155" s="4" t="n">
        <f aca="false">Veri!F155</f>
        <v>0.22208</v>
      </c>
      <c r="C155" s="4" t="n">
        <f aca="false">(B155-$H$3)/($H$4-$H$3)</f>
        <v>0.131375634457709</v>
      </c>
      <c r="D155" s="4" t="n">
        <f aca="false">Veri!H155</f>
        <v>0.42864</v>
      </c>
      <c r="E155" s="4" t="n">
        <f aca="false">(D155-$I$3)/($I$4-$I$3)</f>
        <v>0.418083394294075</v>
      </c>
    </row>
    <row r="156" customFormat="false" ht="15" hidden="false" customHeight="false" outlineLevel="0" collapsed="false">
      <c r="A156" s="2" t="str">
        <f aca="false">Veri!A156</f>
        <v>Benin</v>
      </c>
      <c r="B156" s="4" t="n">
        <f aca="false">Veri!F156</f>
        <v>0.28665</v>
      </c>
      <c r="C156" s="4" t="n">
        <f aca="false">(B156-$H$3)/($H$4-$H$3)</f>
        <v>0.169573242152838</v>
      </c>
      <c r="D156" s="4" t="n">
        <f aca="false">Veri!H156</f>
        <v>0.3191</v>
      </c>
      <c r="E156" s="4" t="n">
        <f aca="false">(D156-$I$3)/($I$4-$I$3)</f>
        <v>0.311241160692514</v>
      </c>
    </row>
    <row r="157" customFormat="false" ht="15" hidden="false" customHeight="false" outlineLevel="0" collapsed="false">
      <c r="A157" s="2" t="str">
        <f aca="false">Veri!A157</f>
        <v>Syria</v>
      </c>
      <c r="B157" s="4" t="n">
        <f aca="false">Veri!F157</f>
        <v>0.6632</v>
      </c>
      <c r="C157" s="4" t="n">
        <f aca="false">(B157-$H$3)/($H$4-$H$3)</f>
        <v>0.392328533737178</v>
      </c>
      <c r="D157" s="4" t="n">
        <f aca="false">Veri!H157</f>
        <v>0.72193</v>
      </c>
      <c r="E157" s="4" t="n">
        <f aca="false">(D157-$I$3)/($I$4-$I$3)</f>
        <v>0.70415020726652</v>
      </c>
    </row>
    <row r="158" customFormat="false" ht="15" hidden="false" customHeight="false" outlineLevel="0" collapsed="false">
      <c r="A158" s="2" t="str">
        <f aca="false">Veri!A158</f>
        <v>Burundi</v>
      </c>
      <c r="B158" s="4" t="n">
        <f aca="false">Veri!F158</f>
        <v>0.0153</v>
      </c>
      <c r="C158" s="4" t="n">
        <f aca="false">(B158-$H$3)/($H$4-$H$3)</f>
        <v>0.00905100507566167</v>
      </c>
      <c r="D158" s="4" t="n">
        <f aca="false">Veri!H158</f>
        <v>0.22396</v>
      </c>
      <c r="E158" s="4" t="n">
        <f aca="false">(D158-$I$3)/($I$4-$I$3)</f>
        <v>0.218444281882468</v>
      </c>
    </row>
    <row r="159" customFormat="false" ht="15" hidden="false" customHeight="false" outlineLevel="0" collapsed="false">
      <c r="A159" s="2" t="str">
        <f aca="false">Veri!A159</f>
        <v>Togo</v>
      </c>
      <c r="B159" s="4" t="n">
        <f aca="false">Veri!F159</f>
        <v>0.20868</v>
      </c>
      <c r="C159" s="4" t="n">
        <f aca="false">(B159-$H$3)/($H$4-$H$3)</f>
        <v>0.123448610404515</v>
      </c>
      <c r="D159" s="4" t="n">
        <f aca="false">Veri!H159</f>
        <v>0.28443</v>
      </c>
      <c r="E159" s="4" t="n">
        <f aca="false">(D159-$I$3)/($I$4-$I$3)</f>
        <v>0.277425018288222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2026-09-19T13:00:29Z</dcterms:created>
  <dc:creator>openpyxl</dc:creator>
  <dc:description/>
  <dc:language>en-US</dc:language>
  <cp:lastModifiedBy/>
  <dcterms:modified xsi:type="dcterms:W3CDTF">2026-09-19T13:00:30Z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